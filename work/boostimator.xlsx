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Year" sheetId="1" r:id="rId5"/>
    <sheet state="hidden" name="Customize your calendar" sheetId="2" r:id="rId6"/>
    <sheet state="hidden" name="Instructions" sheetId="3" r:id="rId7"/>
    <sheet state="visible" name="Boostimator 26" sheetId="4" r:id="rId8"/>
    <sheet state="hidden" name="Projection 1" sheetId="5" r:id="rId9"/>
    <sheet state="hidden" name="Projection 2" sheetId="6" r:id="rId10"/>
    <sheet state="visible" name="TTP Tracker 26" sheetId="7" r:id="rId11"/>
    <sheet state="visible" name="Schedule" sheetId="8" r:id="rId12"/>
    <sheet state="hidden" name="January" sheetId="9" r:id="rId13"/>
    <sheet state="hidden" name="February" sheetId="10" r:id="rId14"/>
    <sheet state="visible" name="Leaderboards" sheetId="11" r:id="rId15"/>
    <sheet state="hidden" name="March" sheetId="12" r:id="rId16"/>
    <sheet state="hidden" name="April" sheetId="13" r:id="rId17"/>
    <sheet state="hidden" name="May" sheetId="14" r:id="rId18"/>
    <sheet state="hidden" name="June" sheetId="15" r:id="rId19"/>
    <sheet state="hidden" name="July" sheetId="16" r:id="rId20"/>
    <sheet state="hidden" name="August" sheetId="17" r:id="rId21"/>
    <sheet state="hidden" name="September" sheetId="18" r:id="rId22"/>
    <sheet state="hidden" name="October" sheetId="19" r:id="rId23"/>
    <sheet state="hidden" name="November" sheetId="20" r:id="rId24"/>
    <sheet state="hidden" name="December" sheetId="21" r:id="rId25"/>
    <sheet state="visible" name="Goals" sheetId="22" r:id="rId26"/>
    <sheet state="visible" name="Boost Data" sheetId="23" r:id="rId27"/>
  </sheets>
  <definedNames>
    <definedName hidden="1" localSheetId="10" name="_xlnm._FilterDatabase">Leaderboards!$N$1:$Q$1006</definedName>
  </definedNames>
  <calcPr/>
</workbook>
</file>

<file path=xl/sharedStrings.xml><?xml version="1.0" encoding="utf-8"?>
<sst xmlns="http://schemas.openxmlformats.org/spreadsheetml/2006/main" count="1447" uniqueCount="393">
  <si>
    <r>
      <rPr>
        <rFont val="Arial"/>
        <color rgb="FFFFFFFF"/>
        <sz val="11.0"/>
      </rPr>
      <t xml:space="preserve">Create more with themes              Go to  </t>
    </r>
    <r>
      <rPr>
        <rFont val="Arial"/>
        <b/>
        <color rgb="FFFFFFFF"/>
        <sz val="11.0"/>
      </rPr>
      <t>Format</t>
    </r>
    <r>
      <rPr>
        <rFont val="Arial"/>
        <color rgb="FFFFFFFF"/>
        <sz val="11.0"/>
      </rPr>
      <t xml:space="preserve">  &gt;&gt; </t>
    </r>
    <r>
      <rPr>
        <rFont val="Arial"/>
        <b/>
        <color rgb="FFFFFFFF"/>
        <sz val="11.0"/>
      </rPr>
      <t>Theme</t>
    </r>
  </si>
  <si>
    <t>JANUARY</t>
  </si>
  <si>
    <t>FEBRUARY</t>
  </si>
  <si>
    <t>MARCH</t>
  </si>
  <si>
    <t>S</t>
  </si>
  <si>
    <t>M</t>
  </si>
  <si>
    <t>T</t>
  </si>
  <si>
    <t>W</t>
  </si>
  <si>
    <t>F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</si>
  <si>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</si>
  <si>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</si>
  <si>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</si>
  <si>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</si>
  <si>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</si>
  <si>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</si>
  <si>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</si>
  <si>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</si>
  <si>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</si>
  <si>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rFont val="Arial"/>
        <color rgb="FF292929"/>
        <sz val="18.0"/>
      </rPr>
      <t xml:space="preserve">Go to </t>
    </r>
    <r>
      <rPr>
        <rFont val="Arial"/>
        <b/>
        <color rgb="FF292929"/>
        <sz val="18.0"/>
      </rPr>
      <t xml:space="preserve">Format  </t>
    </r>
    <r>
      <rPr>
        <rFont val="Arial"/>
        <color rgb="FF292929"/>
        <sz val="18.0"/>
      </rPr>
      <t xml:space="preserve">&gt;&gt; </t>
    </r>
    <r>
      <rPr>
        <rFont val="Arial"/>
        <b/>
        <color rgb="FF292929"/>
        <sz val="18.0"/>
      </rPr>
      <t>Theme</t>
    </r>
  </si>
  <si>
    <t>Bring your personal style into your annual planning</t>
  </si>
  <si>
    <r>
      <rPr>
        <rFont val="Arial"/>
        <color rgb="FF292929"/>
        <sz val="11.0"/>
      </rPr>
      <t>This calendar will automatically update based on the year. You can also manually change the year in the first sheet.
Explore</t>
    </r>
    <r>
      <rPr>
        <rFont val="Arial"/>
        <b/>
        <color rgb="FF292929"/>
        <sz val="11.0"/>
      </rPr>
      <t xml:space="preserve"> 16 different themes </t>
    </r>
    <r>
      <rPr>
        <rFont val="Arial"/>
        <color rgb="FF292929"/>
        <sz val="11.0"/>
      </rPr>
      <t>to personalize your calendar
-  Simply go to the "</t>
    </r>
    <r>
      <rPr>
        <rFont val="Arial"/>
        <b/>
        <color rgb="FF292929"/>
        <sz val="11.0"/>
      </rPr>
      <t>Format</t>
    </r>
    <r>
      <rPr>
        <rFont val="Arial"/>
        <color rgb="FF292929"/>
        <sz val="11.0"/>
      </rPr>
      <t>" menu and select "</t>
    </r>
    <r>
      <rPr>
        <rFont val="Arial"/>
        <b/>
        <color rgb="FF292929"/>
        <sz val="11.0"/>
      </rPr>
      <t>Theme</t>
    </r>
    <r>
      <rPr>
        <rFont val="Arial"/>
        <color rgb="FF292929"/>
        <sz val="11.0"/>
      </rPr>
      <t>"
-  Browse and select from one of the preset Themes in the side panel
-  Use the themes as-is or you can add your own style by clicking "</t>
    </r>
    <r>
      <rPr>
        <rFont val="Arial"/>
        <b/>
        <color rgb="FF292929"/>
        <sz val="11.0"/>
      </rPr>
      <t>Customize</t>
    </r>
    <r>
      <rPr>
        <rFont val="Arial"/>
        <color rgb="FF292929"/>
        <sz val="11.0"/>
      </rPr>
      <t xml:space="preserve">" </t>
    </r>
  </si>
  <si>
    <t>Streamline</t>
  </si>
  <si>
    <t>Retro</t>
  </si>
  <si>
    <t>Coral</t>
  </si>
  <si>
    <r>
      <rPr>
        <rFont val="Arial"/>
        <b/>
        <color rgb="FF292929"/>
        <sz val="11.0"/>
      </rPr>
      <t xml:space="preserve">TIP: </t>
    </r>
    <r>
      <rPr>
        <rFont val="Arial"/>
        <b/>
        <color rgb="FF292929"/>
        <sz val="11.0"/>
      </rPr>
      <t xml:space="preserve">Insert images into cells by using: </t>
    </r>
    <r>
      <rPr>
        <rFont val="Arial"/>
        <b/>
        <color rgb="FF292929"/>
        <sz val="11.0"/>
      </rPr>
      <t>Insert</t>
    </r>
    <r>
      <rPr>
        <rFont val="Arial"/>
        <b/>
        <color rgb="FF292929"/>
        <sz val="11.0"/>
      </rPr>
      <t xml:space="preserve"> &gt;&gt;</t>
    </r>
    <r>
      <rPr>
        <rFont val="Arial"/>
        <b/>
        <color rgb="FF292929"/>
        <sz val="11.0"/>
      </rPr>
      <t xml:space="preserve"> Image </t>
    </r>
    <r>
      <rPr>
        <rFont val="Arial"/>
        <b/>
        <color rgb="FF292929"/>
        <sz val="11.0"/>
      </rPr>
      <t>&gt;&gt;</t>
    </r>
    <r>
      <rPr>
        <rFont val="Arial"/>
        <b/>
        <color rgb="FF292929"/>
        <sz val="11.0"/>
      </rPr>
      <t xml:space="preserve"> Image in cell</t>
    </r>
  </si>
  <si>
    <t>#</t>
  </si>
  <si>
    <t>TTP TRACKER: INSTRUCTIONS</t>
  </si>
  <si>
    <t>Promo Name:</t>
  </si>
  <si>
    <t>###</t>
  </si>
  <si>
    <t>WHAT IS THIS THING?</t>
  </si>
  <si>
    <t>-</t>
  </si>
  <si>
    <t>TTP Tracker is a tool for planning monthly resources for your desired STT boost goal.</t>
  </si>
  <si>
    <t>Length:</t>
  </si>
  <si>
    <t>GETTING STARTED:</t>
  </si>
  <si>
    <t xml:space="preserve">Results are ESTIMATED! </t>
  </si>
  <si>
    <t>UC</t>
  </si>
  <si>
    <t xml:space="preserve">On a web browser, Click File &gt; Make a Copy. Or on the Google Sheets app ... &gt; Share &amp; Export &gt; Make a Copy   </t>
  </si>
  <si>
    <t>Fill out any Light Green cells. Results are displayed in Blue cells.</t>
  </si>
  <si>
    <t>MORE COMING SOON...</t>
  </si>
  <si>
    <t>BOOSTIMATOR 26</t>
  </si>
  <si>
    <t>FINAL OVR:</t>
  </si>
  <si>
    <t>TTP NEEDED:</t>
  </si>
  <si>
    <t>by phredd &amp; jawabomb</t>
  </si>
  <si>
    <t>MY GOAL</t>
  </si>
  <si>
    <t>TARGET OVR:</t>
  </si>
  <si>
    <t>MY CURRENT LINEUP</t>
  </si>
  <si>
    <t>CURRENT OVR:</t>
  </si>
  <si>
    <t>QB</t>
  </si>
  <si>
    <t>HB/FB</t>
  </si>
  <si>
    <t>TE</t>
  </si>
  <si>
    <t>WR</t>
  </si>
  <si>
    <t>C/OG/OT</t>
  </si>
  <si>
    <t>COST</t>
  </si>
  <si>
    <t>OFFENSE</t>
  </si>
  <si>
    <t>RANK:</t>
  </si>
  <si>
    <t>WR1</t>
  </si>
  <si>
    <t>LEFT OT</t>
  </si>
  <si>
    <t>LEFT OG</t>
  </si>
  <si>
    <t>C</t>
  </si>
  <si>
    <t>RIGHT OG</t>
  </si>
  <si>
    <t>RIGHT OT</t>
  </si>
  <si>
    <t>WR2</t>
  </si>
  <si>
    <t>Mythic +1</t>
  </si>
  <si>
    <t>HB</t>
  </si>
  <si>
    <t>LB/MLB</t>
  </si>
  <si>
    <t>CB</t>
  </si>
  <si>
    <t>DT</t>
  </si>
  <si>
    <t>DE</t>
  </si>
  <si>
    <t>DEFENSE</t>
  </si>
  <si>
    <t>CB1</t>
  </si>
  <si>
    <t>SS</t>
  </si>
  <si>
    <t>LEFT LB</t>
  </si>
  <si>
    <t>MLB</t>
  </si>
  <si>
    <t>RIGHT LB</t>
  </si>
  <si>
    <t>FS</t>
  </si>
  <si>
    <t>CB2</t>
  </si>
  <si>
    <t>K</t>
  </si>
  <si>
    <t>KR</t>
  </si>
  <si>
    <t>P</t>
  </si>
  <si>
    <t>PR</t>
  </si>
  <si>
    <t>Mythic Boosts</t>
  </si>
  <si>
    <t>Dual Mythic</t>
  </si>
  <si>
    <t>Dual Iconic</t>
  </si>
  <si>
    <t>SPECIAL</t>
  </si>
  <si>
    <t>Extra</t>
  </si>
  <si>
    <t>RANK UP</t>
  </si>
  <si>
    <t>TARGET RANK</t>
  </si>
  <si>
    <t>TTP TRACKER 26</t>
  </si>
  <si>
    <t>TTP:</t>
  </si>
  <si>
    <t>GOAL:</t>
  </si>
  <si>
    <t>TTP</t>
  </si>
  <si>
    <t>USD</t>
  </si>
  <si>
    <t>MC</t>
  </si>
  <si>
    <t>Pass Bonus</t>
  </si>
  <si>
    <t># Mondays:</t>
  </si>
  <si>
    <t>REMAINING</t>
  </si>
  <si>
    <t>VIP PASS:</t>
  </si>
  <si>
    <t>Yes</t>
  </si>
  <si>
    <t>Total MC:</t>
  </si>
  <si>
    <t>Total $:</t>
  </si>
  <si>
    <t>FP Starts:</t>
  </si>
  <si>
    <t>Total Days:</t>
  </si>
  <si>
    <t>Current Day:</t>
  </si>
  <si>
    <t>FP Ends:</t>
  </si>
  <si>
    <t>Reset Time:</t>
  </si>
  <si>
    <t>Starting TTP:</t>
  </si>
  <si>
    <t>My Goals from Boostimator</t>
  </si>
  <si>
    <t>Offense:</t>
  </si>
  <si>
    <t>Defense:</t>
  </si>
  <si>
    <t>Special:</t>
  </si>
  <si>
    <t>Core and Promos</t>
  </si>
  <si>
    <t>Madden Base</t>
  </si>
  <si>
    <t>Tier:</t>
  </si>
  <si>
    <t>Diamond</t>
  </si>
  <si>
    <t>Daily Refills:</t>
  </si>
  <si>
    <t>Event</t>
  </si>
  <si>
    <t>Reward</t>
  </si>
  <si>
    <t>Times</t>
  </si>
  <si>
    <t>Daily</t>
  </si>
  <si>
    <t>20 Stamina</t>
  </si>
  <si>
    <t>60 Stamina</t>
  </si>
  <si>
    <t>100 Stamina</t>
  </si>
  <si>
    <t>VIP</t>
  </si>
  <si>
    <t>Event 1 Pass</t>
  </si>
  <si>
    <t>Bought:</t>
  </si>
  <si>
    <t>No</t>
  </si>
  <si>
    <t>FREE</t>
  </si>
  <si>
    <t>PLUS</t>
  </si>
  <si>
    <t>PREMIUM</t>
  </si>
  <si>
    <t>Milestone</t>
  </si>
  <si>
    <t>Event 2 Pass</t>
  </si>
  <si>
    <t>Competitive</t>
  </si>
  <si>
    <t>Daily Arena</t>
  </si>
  <si>
    <t>Average</t>
  </si>
  <si>
    <t>High Rank</t>
  </si>
  <si>
    <t>Low Rank</t>
  </si>
  <si>
    <t>Unlimited</t>
  </si>
  <si>
    <t>➡️85 pts</t>
  </si>
  <si>
    <t>➡️160 pts</t>
  </si>
  <si>
    <t>➡️275 pts</t>
  </si>
  <si>
    <t>➡️500 pts</t>
  </si>
  <si>
    <t>➡️1000 pts</t>
  </si>
  <si>
    <t>Arena 1</t>
  </si>
  <si>
    <t>Arena 2</t>
  </si>
  <si>
    <t>Arena 3</t>
  </si>
  <si>
    <t>Arena 4</t>
  </si>
  <si>
    <t>Tournaments</t>
  </si>
  <si>
    <t>Clear</t>
  </si>
  <si>
    <t>Rank</t>
  </si>
  <si>
    <t>Rank TTP</t>
  </si>
  <si>
    <t>Milestone TTP</t>
  </si>
  <si>
    <t>PA Rushing</t>
  </si>
  <si>
    <t>PA Passing</t>
  </si>
  <si>
    <t>Draft</t>
  </si>
  <si>
    <t>Milestone Rewards</t>
  </si>
  <si>
    <t>Tournament 1</t>
  </si>
  <si>
    <t>Tournament 2</t>
  </si>
  <si>
    <t>LvL W/L</t>
  </si>
  <si>
    <t>Avg. Rank</t>
  </si>
  <si>
    <t>HOF | 3</t>
  </si>
  <si>
    <t>Est. Wins:</t>
  </si>
  <si>
    <t>Avg. Win</t>
  </si>
  <si>
    <t>Avg. Loss</t>
  </si>
  <si>
    <t>Avg. Reward</t>
  </si>
  <si>
    <t>VS</t>
  </si>
  <si>
    <t>League Store</t>
  </si>
  <si>
    <t>Core Store</t>
  </si>
  <si>
    <t>Tokens</t>
  </si>
  <si>
    <t>QTY</t>
  </si>
  <si>
    <t>Pack</t>
  </si>
  <si>
    <t>Price</t>
  </si>
  <si>
    <t>Buy</t>
  </si>
  <si>
    <t>T.T. Special</t>
  </si>
  <si>
    <t>Madden Cash</t>
  </si>
  <si>
    <t>Other</t>
  </si>
  <si>
    <t>Contributions:</t>
  </si>
  <si>
    <t>Player Trades</t>
  </si>
  <si>
    <t>Avg. TTP</t>
  </si>
  <si>
    <t>Iconic</t>
  </si>
  <si>
    <t>Mythic</t>
  </si>
  <si>
    <t>Promo Tokens</t>
  </si>
  <si>
    <t>Daily Goals</t>
  </si>
  <si>
    <t>✅</t>
  </si>
  <si>
    <t>Goals</t>
  </si>
  <si>
    <t>Ad Watch</t>
  </si>
  <si>
    <t>Training Ad</t>
  </si>
  <si>
    <t>Journey Ad</t>
  </si>
  <si>
    <t>League Goals</t>
  </si>
  <si>
    <t>Weekly</t>
  </si>
  <si>
    <t>FP Milestones</t>
  </si>
  <si>
    <t>Completed:</t>
  </si>
  <si>
    <t>Milestones</t>
  </si>
  <si>
    <t>Login Calendar</t>
  </si>
  <si>
    <t>Starting Day:</t>
  </si>
  <si>
    <t>Current Day</t>
  </si>
  <si>
    <t>Day</t>
  </si>
  <si>
    <t>Coins</t>
  </si>
  <si>
    <t>Done</t>
  </si>
  <si>
    <t>Date</t>
  </si>
  <si>
    <t>Weeks</t>
  </si>
  <si>
    <t>Arena Tourney</t>
  </si>
  <si>
    <t>Leaderboard</t>
  </si>
  <si>
    <t>2 Min Drill</t>
  </si>
  <si>
    <t>EZF</t>
  </si>
  <si>
    <t>Current FP</t>
  </si>
  <si>
    <t>Past</t>
  </si>
  <si>
    <t>Active</t>
  </si>
  <si>
    <t>Thursday</t>
  </si>
  <si>
    <t>Friday</t>
  </si>
  <si>
    <t>Saturday</t>
  </si>
  <si>
    <t>Sunday</t>
  </si>
  <si>
    <t>Monday</t>
  </si>
  <si>
    <t>Tuesday</t>
  </si>
  <si>
    <t>Wednesday</t>
  </si>
  <si>
    <t>JAN</t>
  </si>
  <si>
    <t>SUNDAY</t>
  </si>
  <si>
    <t>MONDAY</t>
  </si>
  <si>
    <t>TUESDAY</t>
  </si>
  <si>
    <t>WEDNESDAY</t>
  </si>
  <si>
    <t>THURSDAY</t>
  </si>
  <si>
    <t>FRIDAY</t>
  </si>
  <si>
    <t>SATURDAY</t>
  </si>
  <si>
    <t>FP Start</t>
  </si>
  <si>
    <t>Rush LB</t>
  </si>
  <si>
    <t>Tourney LB</t>
  </si>
  <si>
    <t>Pass LB</t>
  </si>
  <si>
    <t>2</t>
  </si>
  <si>
    <t>4</t>
  </si>
  <si>
    <t>FEB</t>
  </si>
  <si>
    <t>FP End</t>
  </si>
  <si>
    <t>NOTES</t>
  </si>
  <si>
    <t>LvL Leaderboards</t>
  </si>
  <si>
    <t>Draft Leaderboards</t>
  </si>
  <si>
    <t>Packs</t>
  </si>
  <si>
    <t>RANK</t>
  </si>
  <si>
    <t>REWARD</t>
  </si>
  <si>
    <t>L</t>
  </si>
  <si>
    <t>2nd Quarter I</t>
  </si>
  <si>
    <t>HOF | 1</t>
  </si>
  <si>
    <t>2nd Quarter II</t>
  </si>
  <si>
    <t>HOF | 2</t>
  </si>
  <si>
    <t>2nd Quarter III</t>
  </si>
  <si>
    <t>2nd Quarter IV</t>
  </si>
  <si>
    <t>HOF | 4 - 10</t>
  </si>
  <si>
    <t>3rd Quarter I</t>
  </si>
  <si>
    <t>HOF | 11 - 15</t>
  </si>
  <si>
    <t>3rd Quarter II</t>
  </si>
  <si>
    <t>HOF | 16+</t>
  </si>
  <si>
    <t>3rd Quarter III</t>
  </si>
  <si>
    <t>Elite I | 1</t>
  </si>
  <si>
    <t>3rd Quarter IV</t>
  </si>
  <si>
    <t>Elite I | 2</t>
  </si>
  <si>
    <t>4th Quarter I</t>
  </si>
  <si>
    <t>Elite I | 3</t>
  </si>
  <si>
    <t>4th Quarter II</t>
  </si>
  <si>
    <t>Elite I | 4 - 10</t>
  </si>
  <si>
    <t>4th Quarter III</t>
  </si>
  <si>
    <t>Elite I | 11 - 25</t>
  </si>
  <si>
    <t>4th Quarter IV</t>
  </si>
  <si>
    <t>Elite I | 26 - 50</t>
  </si>
  <si>
    <t>BITG I</t>
  </si>
  <si>
    <t>Elite I | 51+</t>
  </si>
  <si>
    <t>BITG II</t>
  </si>
  <si>
    <t>Elite II | 1</t>
  </si>
  <si>
    <t>BITG III</t>
  </si>
  <si>
    <t>Arena Tournaments</t>
  </si>
  <si>
    <t>Elite II | 2</t>
  </si>
  <si>
    <t>BITG IV</t>
  </si>
  <si>
    <t>Elite II | 3</t>
  </si>
  <si>
    <t>B3</t>
  </si>
  <si>
    <t>Elite II | 4 - 10</t>
  </si>
  <si>
    <t>B2</t>
  </si>
  <si>
    <t>Elite II | 11 - 25</t>
  </si>
  <si>
    <t>B1</t>
  </si>
  <si>
    <t>Elite II | 26 - 50</t>
  </si>
  <si>
    <t>S3</t>
  </si>
  <si>
    <t>Elite II | 51 - 100</t>
  </si>
  <si>
    <t>4 to 10</t>
  </si>
  <si>
    <t>S2</t>
  </si>
  <si>
    <t>Elite II | 101+</t>
  </si>
  <si>
    <t>11 to 25</t>
  </si>
  <si>
    <t>S1</t>
  </si>
  <si>
    <t>Elite III | 1</t>
  </si>
  <si>
    <t>26 to 50</t>
  </si>
  <si>
    <t>G3</t>
  </si>
  <si>
    <t>Elite III | 2</t>
  </si>
  <si>
    <t>51 to 100</t>
  </si>
  <si>
    <t>G2</t>
  </si>
  <si>
    <t>Elite III | 3</t>
  </si>
  <si>
    <t>101 to 250</t>
  </si>
  <si>
    <t>G1</t>
  </si>
  <si>
    <t>Elite III | 4 - 10</t>
  </si>
  <si>
    <t>251 to 500</t>
  </si>
  <si>
    <t>E3</t>
  </si>
  <si>
    <t>Elite III | 11 - 25</t>
  </si>
  <si>
    <t>501 to 1000</t>
  </si>
  <si>
    <t>E2</t>
  </si>
  <si>
    <t>Elite III | 26 - 50</t>
  </si>
  <si>
    <t>1001 to 2000</t>
  </si>
  <si>
    <t>E1</t>
  </si>
  <si>
    <t>Elite III | 51 - 100</t>
  </si>
  <si>
    <t>HOF</t>
  </si>
  <si>
    <t>Elite III | 101 - 200</t>
  </si>
  <si>
    <t>Elite III | 201+</t>
  </si>
  <si>
    <t>A1 Rank</t>
  </si>
  <si>
    <t>Gold I | 1</t>
  </si>
  <si>
    <t>Gold I | 2</t>
  </si>
  <si>
    <t>Gold I | 3</t>
  </si>
  <si>
    <t>Gold I | 4 - 10</t>
  </si>
  <si>
    <t>Gold I | 11 - 25</t>
  </si>
  <si>
    <t>Gold I | 26 - 50</t>
  </si>
  <si>
    <t>Gold I | 51 - 100</t>
  </si>
  <si>
    <t>Gold I | 101 - 250</t>
  </si>
  <si>
    <t>Gold I | 251 - 500</t>
  </si>
  <si>
    <t>Gold I | 501+</t>
  </si>
  <si>
    <t>Daily Arena Leaderboards</t>
  </si>
  <si>
    <t>A2 Rank</t>
  </si>
  <si>
    <t>HOF | 4-10</t>
  </si>
  <si>
    <t>HOF | 11-25</t>
  </si>
  <si>
    <t>HOF | 26-50</t>
  </si>
  <si>
    <t>HOF | 51-75</t>
  </si>
  <si>
    <t>HOF | 76-100</t>
  </si>
  <si>
    <t>HOF | 101-250</t>
  </si>
  <si>
    <t>HOF | 251-500</t>
  </si>
  <si>
    <t>HOF | 501-1000</t>
  </si>
  <si>
    <t>A3 Rank</t>
  </si>
  <si>
    <t>Elite I | 4-10</t>
  </si>
  <si>
    <t>Elite I | 11-25</t>
  </si>
  <si>
    <t>Elite I | 26-50</t>
  </si>
  <si>
    <t>Elite I | 51-75</t>
  </si>
  <si>
    <t>Elite I | 76-100</t>
  </si>
  <si>
    <t>Elite I | 101-250</t>
  </si>
  <si>
    <t>Elite I | 251-500</t>
  </si>
  <si>
    <t>Elite I | 501-1000</t>
  </si>
  <si>
    <t>Elite II | 4-10</t>
  </si>
  <si>
    <t>Elite II | 11-25</t>
  </si>
  <si>
    <t>A4 Rank</t>
  </si>
  <si>
    <t>Elite II | 26-50</t>
  </si>
  <si>
    <t>Elite II | 51-75</t>
  </si>
  <si>
    <t>Elite II | 76-100</t>
  </si>
  <si>
    <t>Elite II | 101-250</t>
  </si>
  <si>
    <t>Elite II | 251-500</t>
  </si>
  <si>
    <t>Elite II | 501-1000</t>
  </si>
  <si>
    <t>Elite III | 4-10</t>
  </si>
  <si>
    <t>Elite III | 11-25</t>
  </si>
  <si>
    <t>Elite III | 26-50</t>
  </si>
  <si>
    <t>Elite III | 51-75</t>
  </si>
  <si>
    <t>Elite III | 76-100</t>
  </si>
  <si>
    <t>Elite III | 101-250</t>
  </si>
  <si>
    <t>Elite III | 251-500</t>
  </si>
  <si>
    <t>Elite III | 501-1000</t>
  </si>
  <si>
    <t>Gold I | 4-10</t>
  </si>
  <si>
    <t>Gold I | 11-25</t>
  </si>
  <si>
    <t>Gold I | 26-50</t>
  </si>
  <si>
    <t>Gold I | 51-75</t>
  </si>
  <si>
    <t>Gold I | 76-100</t>
  </si>
  <si>
    <t>Gold I | 101-250</t>
  </si>
  <si>
    <t>Gold I | 251-500</t>
  </si>
  <si>
    <t>Gold I | 501-1000</t>
  </si>
  <si>
    <t>MAR</t>
  </si>
  <si>
    <t>APRIL</t>
  </si>
  <si>
    <t>APR</t>
  </si>
  <si>
    <t>JUN</t>
  </si>
  <si>
    <t>JUL</t>
  </si>
  <si>
    <t>AUG</t>
  </si>
  <si>
    <t>SEP</t>
  </si>
  <si>
    <t>OCT</t>
  </si>
  <si>
    <t>NOV</t>
  </si>
  <si>
    <t>DEC</t>
  </si>
  <si>
    <t>Code</t>
  </si>
  <si>
    <t>OFF</t>
  </si>
  <si>
    <t>DEF</t>
  </si>
  <si>
    <t>ST</t>
  </si>
  <si>
    <t>Total TTP</t>
  </si>
  <si>
    <t>Reward (STT Player)</t>
  </si>
  <si>
    <t>50/50/50</t>
  </si>
  <si>
    <t>Marvel</t>
  </si>
  <si>
    <t>40/40/30</t>
  </si>
  <si>
    <t>Mythic &amp; Iconic</t>
  </si>
  <si>
    <t>40/30/30</t>
  </si>
  <si>
    <t>30/40/30</t>
  </si>
  <si>
    <t>45/30/0</t>
  </si>
  <si>
    <t>30/45/0</t>
  </si>
  <si>
    <t>40/40/0</t>
  </si>
  <si>
    <t>3x Iconics</t>
  </si>
  <si>
    <t>40/20/0</t>
  </si>
  <si>
    <t>2x Iconics</t>
  </si>
  <si>
    <t>20/20/30</t>
  </si>
  <si>
    <t>30/20/0</t>
  </si>
  <si>
    <t>20/30/0</t>
  </si>
  <si>
    <t>Level</t>
  </si>
  <si>
    <t>Cost</t>
  </si>
  <si>
    <t>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</si>
</sst>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"/>
    <numFmt numFmtId="165" formatCode="&quot;$&quot;#,##0.00"/>
    <numFmt numFmtId="166" formatCode="#,##0.0"/>
    <numFmt numFmtId="167" formatCode="m/d/yyyy"/>
    <numFmt numFmtId="168" formatCode="m/d/yy"/>
    <numFmt numFmtId="169" formatCode="d&quot; &quot;"/>
  </numFmts>
  <fonts count="62">
    <font>
      <sz val="10.0"/>
      <color rgb="FF000000"/>
      <name val="Arial"/>
      <scheme val="minor"/>
    </font>
    <font>
      <color theme="0"/>
      <name val="Arial"/>
    </font>
    <font>
      <b/>
      <sz val="22.0"/>
      <color theme="0"/>
      <name val="Arial"/>
      <scheme val="minor"/>
    </font>
    <font>
      <b/>
      <sz val="220.0"/>
      <color rgb="FFFFFFFF"/>
      <name val="Arial"/>
      <scheme val="minor"/>
    </font>
    <font>
      <color rgb="FFFFFFFF"/>
      <name val="Arial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b/>
      <color theme="0"/>
      <name val="Arial"/>
      <scheme val="minor"/>
    </font>
    <font>
      <b/>
      <color rgb="FFF5F5F5"/>
      <name val="Arial"/>
      <scheme val="minor"/>
    </font>
    <font>
      <color rgb="FF292929"/>
      <name val="Arial"/>
    </font>
    <font>
      <sz val="18.0"/>
      <color rgb="FF292929"/>
      <name val="Arial"/>
    </font>
    <font>
      <b/>
      <sz val="50.0"/>
      <color rgb="FF292929"/>
      <name val="Arial"/>
      <scheme val="minor"/>
    </font>
    <font>
      <sz val="11.0"/>
      <color rgb="FF292929"/>
      <name val="Arial"/>
    </font>
    <font>
      <sz val="11.0"/>
      <color rgb="FF292929"/>
      <name val="Arial"/>
      <scheme val="minor"/>
    </font>
    <font>
      <b/>
      <sz val="11.0"/>
      <color rgb="FF292929"/>
      <name val="Arial"/>
    </font>
    <font>
      <b/>
      <sz val="24.0"/>
      <color rgb="FF999999"/>
      <name val="Oswald"/>
    </font>
    <font>
      <b/>
      <sz val="24.0"/>
      <color theme="1"/>
      <name val="Oswald"/>
    </font>
    <font>
      <b/>
      <color theme="1"/>
      <name val="Oswald"/>
    </font>
    <font>
      <b/>
      <sz val="12.0"/>
      <color rgb="FF999999"/>
      <name val="Oswald"/>
    </font>
    <font>
      <b/>
      <i/>
      <sz val="12.0"/>
      <color rgb="FFFFFFFF"/>
      <name val="Oswald"/>
    </font>
    <font>
      <b/>
      <sz val="12.0"/>
      <color theme="1"/>
      <name val="Oswald"/>
    </font>
    <font>
      <b/>
      <sz val="12.0"/>
      <color rgb="FF000000"/>
      <name val="Oswald"/>
    </font>
    <font>
      <b/>
      <sz val="12.0"/>
      <color rgb="FFEA4335"/>
      <name val="Oswald"/>
    </font>
    <font>
      <b/>
      <color rgb="FF999999"/>
      <name val="Oswald"/>
    </font>
    <font>
      <b/>
      <i/>
      <color rgb="FFFFFFFF"/>
      <name val="Oswald"/>
    </font>
    <font>
      <b/>
      <sz val="20.0"/>
      <color rgb="FFFFFFFF"/>
      <name val="Oswald"/>
    </font>
    <font>
      <b/>
      <sz val="12.0"/>
      <color rgb="FFFFFFFF"/>
      <name val="Oswald"/>
    </font>
    <font>
      <b/>
      <sz val="11.0"/>
      <color rgb="FFFFFFFF"/>
      <name val="Oswald"/>
    </font>
    <font>
      <b/>
      <sz val="11.0"/>
      <color rgb="FF000000"/>
      <name val="Oswald"/>
    </font>
    <font>
      <sz val="9.0"/>
      <color rgb="FF999999"/>
      <name val="Oswald"/>
    </font>
    <font>
      <b/>
      <sz val="11.0"/>
      <color theme="1"/>
      <name val="Oswald"/>
    </font>
    <font>
      <color theme="1"/>
      <name val="Arial"/>
      <scheme val="minor"/>
    </font>
    <font>
      <b/>
      <sz val="10.0"/>
      <color theme="1"/>
      <name val="Oswald"/>
    </font>
    <font>
      <b/>
      <color rgb="FFFFFFFF"/>
      <name val="Oswald"/>
    </font>
    <font>
      <b/>
      <sz val="20.0"/>
      <color rgb="FF000000"/>
      <name val="Oswald"/>
    </font>
    <font>
      <b/>
      <sz val="10.0"/>
      <color rgb="FFFFFFFF"/>
      <name val="Oswald"/>
    </font>
    <font>
      <b/>
      <sz val="12.0"/>
      <color rgb="FFFF0000"/>
      <name val="Oswald"/>
    </font>
    <font>
      <b/>
      <sz val="11.0"/>
      <color rgb="FFFF0000"/>
      <name val="Oswald"/>
    </font>
    <font>
      <b/>
      <sz val="16.0"/>
      <color theme="1"/>
      <name val="Oswald"/>
    </font>
    <font>
      <b/>
      <sz val="20.0"/>
      <color theme="1"/>
      <name val="Oswald"/>
    </font>
    <font>
      <b/>
      <sz val="16.0"/>
      <color rgb="FFFFFFFF"/>
      <name val="Oswald"/>
    </font>
    <font>
      <sz val="12.0"/>
      <color theme="1"/>
      <name val="Arial"/>
      <scheme val="minor"/>
    </font>
    <font>
      <color theme="1"/>
      <name val="Arial"/>
    </font>
    <font>
      <b/>
      <sz val="12.0"/>
      <color theme="0"/>
      <name val="Arial"/>
      <scheme val="minor"/>
    </font>
    <font>
      <color theme="5"/>
      <name val="Arial"/>
      <scheme val="minor"/>
    </font>
    <font>
      <sz val="12.0"/>
      <color theme="0"/>
      <name val="Arial"/>
      <scheme val="minor"/>
    </font>
    <font>
      <sz val="12.0"/>
      <color rgb="FFFFFFFF"/>
      <name val="Arial"/>
      <scheme val="minor"/>
    </font>
    <font>
      <sz val="12.0"/>
      <color theme="0"/>
      <name val="Arial"/>
    </font>
    <font>
      <sz val="10.0"/>
      <color rgb="FFFFFFFF"/>
      <name val="Arial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</font>
    <font>
      <color theme="0"/>
      <name val="Barlow"/>
    </font>
    <font>
      <color rgb="FFFFFFFF"/>
      <name val="Barlow"/>
    </font>
    <font>
      <color theme="1"/>
      <name val="Barlow"/>
    </font>
    <font>
      <sz val="12.0"/>
      <color theme="0"/>
      <name val="Barlow"/>
    </font>
    <font>
      <sz val="12.0"/>
      <color rgb="FFFFFFFF"/>
      <name val="Barlow"/>
    </font>
    <font>
      <sz val="11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000000"/>
        <bgColor rgb="FF000000"/>
      </patternFill>
    </fill>
    <fill>
      <patternFill patternType="solid">
        <fgColor rgb="FFFBBC04"/>
        <bgColor rgb="FFFBBC04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34A853"/>
        <bgColor rgb="FF34A853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</fills>
  <borders count="18">
    <border/>
    <border>
      <bottom style="thin">
        <color rgb="FFEEF1F1"/>
      </bottom>
    </border>
    <border>
      <bottom style="dotted">
        <color rgb="FFEEF1F1"/>
      </bottom>
    </border>
    <border>
      <right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  <right style="thick">
        <color rgb="FF999999"/>
      </right>
    </border>
    <border>
      <left style="thick">
        <color rgb="FF999999"/>
      </left>
      <right style="thick">
        <color rgb="FF999999"/>
      </right>
      <bottom style="thick">
        <color rgb="FF999999"/>
      </bottom>
    </border>
    <border>
      <top style="thick">
        <color rgb="FF000000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medium">
        <color rgb="FFFFFFFF"/>
      </top>
      <bottom style="thin">
        <color rgb="FFFFFFFF"/>
      </bottom>
    </border>
    <border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top style="medium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2" numFmtId="49" xfId="0" applyAlignment="1" applyFont="1" applyNumberFormat="1">
      <alignment horizontal="left" vertical="bottom"/>
    </xf>
    <xf borderId="0" fillId="2" fontId="1" numFmtId="49" xfId="0" applyFont="1" applyNumberFormat="1"/>
    <xf borderId="0" fillId="2" fontId="3" numFmtId="49" xfId="0" applyAlignment="1" applyFont="1" applyNumberFormat="1">
      <alignment horizontal="center" textRotation="90" vertical="center"/>
    </xf>
    <xf borderId="0" fillId="2" fontId="4" numFmtId="49" xfId="0" applyAlignment="1" applyFont="1" applyNumberFormat="1">
      <alignment horizontal="center" textRotation="90" vertical="center"/>
    </xf>
    <xf borderId="0" fillId="2" fontId="1" numFmtId="0" xfId="0" applyAlignment="1" applyFont="1">
      <alignment horizontal="left" vertical="top"/>
    </xf>
    <xf borderId="1" fillId="2" fontId="5" numFmtId="0" xfId="0" applyAlignment="1" applyBorder="1" applyFont="1">
      <alignment vertical="top"/>
    </xf>
    <xf borderId="1" fillId="0" fontId="6" numFmtId="0" xfId="0" applyBorder="1" applyFont="1"/>
    <xf borderId="0" fillId="2" fontId="7" numFmtId="0" xfId="0" applyAlignment="1" applyFont="1">
      <alignment vertical="bottom"/>
    </xf>
    <xf borderId="0" fillId="2" fontId="1" numFmtId="0" xfId="0" applyAlignment="1" applyFont="1">
      <alignment horizontal="left"/>
    </xf>
    <xf borderId="0" fillId="2" fontId="1" numFmtId="0" xfId="0" applyAlignment="1" applyFont="1">
      <alignment vertical="top"/>
    </xf>
    <xf borderId="2" fillId="2" fontId="8" numFmtId="0" xfId="0" applyAlignment="1" applyBorder="1" applyFont="1">
      <alignment horizontal="center" vertical="top"/>
    </xf>
    <xf borderId="0" fillId="2" fontId="8" numFmtId="0" xfId="0" applyAlignment="1" applyFont="1">
      <alignment horizontal="center" vertical="bottom"/>
    </xf>
    <xf borderId="0" fillId="2" fontId="1" numFmtId="0" xfId="0" applyFont="1"/>
    <xf borderId="0" fillId="2" fontId="8" numFmtId="3" xfId="0" applyAlignment="1" applyFont="1" applyNumberFormat="1">
      <alignment horizontal="center" vertical="bottom"/>
    </xf>
    <xf borderId="0" fillId="2" fontId="8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vertical="bottom"/>
    </xf>
    <xf borderId="0" fillId="2" fontId="9" numFmtId="3" xfId="0" applyAlignment="1" applyFont="1" applyNumberFormat="1">
      <alignment horizontal="center" vertical="bottom"/>
    </xf>
    <xf borderId="0" fillId="2" fontId="9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left" vertical="bottom"/>
    </xf>
    <xf borderId="0" fillId="2" fontId="7" numFmtId="164" xfId="0" applyAlignment="1" applyFont="1" applyNumberFormat="1">
      <alignment vertical="bottom"/>
    </xf>
    <xf borderId="0" fillId="2" fontId="10" numFmtId="3" xfId="0" applyAlignment="1" applyFont="1" applyNumberFormat="1">
      <alignment horizontal="center" vertical="bottom"/>
    </xf>
    <xf borderId="1" fillId="2" fontId="11" numFmtId="0" xfId="0" applyAlignment="1" applyBorder="1" applyFont="1">
      <alignment vertical="top"/>
    </xf>
    <xf borderId="0" fillId="2" fontId="7" numFmtId="49" xfId="0" applyAlignment="1" applyFont="1" applyNumberFormat="1">
      <alignment vertical="bottom"/>
    </xf>
    <xf borderId="2" fillId="2" fontId="8" numFmtId="49" xfId="0" applyAlignment="1" applyBorder="1" applyFont="1" applyNumberFormat="1">
      <alignment horizontal="center" vertical="top"/>
    </xf>
    <xf borderId="0" fillId="2" fontId="8" numFmtId="49" xfId="0" applyAlignment="1" applyFont="1" applyNumberFormat="1">
      <alignment horizontal="center" vertical="bottom"/>
    </xf>
    <xf borderId="0" fillId="2" fontId="10" numFmtId="164" xfId="0" applyAlignment="1" applyFont="1" applyNumberFormat="1">
      <alignment horizontal="center" vertical="top"/>
    </xf>
    <xf borderId="0" fillId="2" fontId="10" numFmtId="0" xfId="0" applyAlignment="1" applyFont="1">
      <alignment horizontal="center" vertical="bottom"/>
    </xf>
    <xf borderId="0" fillId="2" fontId="10" numFmtId="0" xfId="0" applyAlignment="1" applyFont="1">
      <alignment horizontal="center" vertical="top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8" numFmtId="164" xfId="0" applyAlignment="1" applyFont="1" applyNumberFormat="1">
      <alignment vertical="bottom"/>
    </xf>
    <xf borderId="0" fillId="3" fontId="12" numFmtId="0" xfId="0" applyAlignment="1" applyFill="1" applyFont="1">
      <alignment vertical="bottom"/>
    </xf>
    <xf borderId="3" fillId="3" fontId="13" numFmtId="0" xfId="0" applyAlignment="1" applyBorder="1" applyFont="1">
      <alignment shrinkToFit="0" vertical="bottom" wrapText="0"/>
    </xf>
    <xf borderId="0" fillId="3" fontId="12" numFmtId="0" xfId="0" applyAlignment="1" applyFont="1">
      <alignment vertical="top"/>
    </xf>
    <xf borderId="0" fillId="3" fontId="14" numFmtId="0" xfId="0" applyAlignment="1" applyFont="1">
      <alignment horizontal="left" shrinkToFit="0" wrapText="1"/>
    </xf>
    <xf borderId="0" fillId="3" fontId="12" numFmtId="0" xfId="0" applyFont="1"/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shrinkToFit="0" wrapText="1"/>
    </xf>
    <xf borderId="0" fillId="3" fontId="15" numFmtId="0" xfId="0" applyFont="1"/>
    <xf borderId="0" fillId="3" fontId="17" numFmtId="0" xfId="0" applyFont="1"/>
    <xf borderId="0" fillId="4" fontId="18" numFmtId="0" xfId="0" applyAlignment="1" applyFill="1" applyFont="1">
      <alignment horizontal="center" readingOrder="0" vertical="center"/>
    </xf>
    <xf borderId="0" fillId="5" fontId="19" numFmtId="0" xfId="0" applyAlignment="1" applyFill="1" applyFont="1">
      <alignment readingOrder="0" vertical="center"/>
    </xf>
    <xf borderId="0" fillId="4" fontId="18" numFmtId="0" xfId="0" applyAlignment="1" applyFont="1">
      <alignment readingOrder="0" vertical="center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4" fontId="21" numFmtId="0" xfId="0" applyAlignment="1" applyFont="1">
      <alignment horizontal="center" readingOrder="0" vertical="center"/>
    </xf>
    <xf borderId="0" fillId="6" fontId="22" numFmtId="0" xfId="0" applyAlignment="1" applyFill="1" applyFont="1">
      <alignment readingOrder="0" vertical="center"/>
    </xf>
    <xf borderId="0" fillId="4" fontId="21" numFmtId="0" xfId="0" applyAlignment="1" applyFont="1">
      <alignment readingOrder="0" vertical="center"/>
    </xf>
    <xf borderId="0" fillId="0" fontId="23" numFmtId="0" xfId="0" applyAlignment="1" applyFont="1">
      <alignment horizontal="left" readingOrder="0" vertical="center"/>
    </xf>
    <xf borderId="0" fillId="0" fontId="23" numFmtId="0" xfId="0" applyAlignment="1" applyFont="1">
      <alignment horizontal="left"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4" fontId="21" numFmtId="0" xfId="0" applyAlignment="1" applyFont="1">
      <alignment vertical="center"/>
    </xf>
    <xf borderId="0" fillId="0" fontId="24" numFmtId="0" xfId="0" applyAlignment="1" applyFont="1">
      <alignment readingOrder="0" vertical="center"/>
    </xf>
    <xf borderId="0" fillId="0" fontId="25" numFmtId="0" xfId="0" applyAlignment="1" applyFont="1">
      <alignment readingOrder="0" shrinkToFit="0" vertical="center" wrapText="1"/>
    </xf>
    <xf borderId="0" fillId="4" fontId="21" numFmtId="0" xfId="0" applyAlignment="1" applyFont="1">
      <alignment horizontal="center" readingOrder="0"/>
    </xf>
    <xf borderId="0" fillId="4" fontId="21" numFmtId="0" xfId="0" applyFont="1"/>
    <xf borderId="0" fillId="0" fontId="23" numFmtId="0" xfId="0" applyFont="1"/>
    <xf borderId="0" fillId="4" fontId="26" numFmtId="0" xfId="0" applyAlignment="1" applyFont="1">
      <alignment horizontal="center"/>
    </xf>
    <xf borderId="0" fillId="6" fontId="27" numFmtId="0" xfId="0" applyAlignment="1" applyFont="1">
      <alignment readingOrder="0" vertical="center"/>
    </xf>
    <xf borderId="0" fillId="4" fontId="26" numFmtId="0" xfId="0" applyFont="1"/>
    <xf borderId="0" fillId="0" fontId="20" numFmtId="0" xfId="0" applyFont="1"/>
    <xf borderId="0" fillId="4" fontId="23" numFmtId="0" xfId="0" applyAlignment="1" applyFont="1">
      <alignment vertical="center"/>
    </xf>
    <xf borderId="0" fillId="7" fontId="19" numFmtId="0" xfId="0" applyAlignment="1" applyFill="1" applyFont="1">
      <alignment readingOrder="0" vertical="center"/>
    </xf>
    <xf borderId="0" fillId="7" fontId="23" numFmtId="0" xfId="0" applyAlignment="1" applyFont="1">
      <alignment horizontal="right" readingOrder="0" vertical="center"/>
    </xf>
    <xf borderId="0" fillId="8" fontId="28" numFmtId="3" xfId="0" applyAlignment="1" applyFill="1" applyFont="1" applyNumberFormat="1">
      <alignment horizontal="center" vertical="center"/>
    </xf>
    <xf borderId="0" fillId="7" fontId="23" numFmtId="0" xfId="0" applyAlignment="1" applyFont="1">
      <alignment horizontal="right" vertical="center"/>
    </xf>
    <xf borderId="0" fillId="9" fontId="28" numFmtId="3" xfId="0" applyAlignment="1" applyFill="1" applyFont="1" applyNumberFormat="1">
      <alignment horizontal="center" vertical="center"/>
    </xf>
    <xf borderId="0" fillId="7" fontId="23" numFmtId="0" xfId="0" applyAlignment="1" applyFont="1">
      <alignment horizontal="right" shrinkToFit="0" vertical="center" wrapText="1"/>
    </xf>
    <xf borderId="0" fillId="8" fontId="23" numFmtId="0" xfId="0" applyAlignment="1" applyFont="1">
      <alignment vertical="center"/>
    </xf>
    <xf borderId="0" fillId="4" fontId="23" numFmtId="0" xfId="0" applyFont="1"/>
    <xf borderId="0" fillId="6" fontId="29" numFmtId="3" xfId="0" applyAlignment="1" applyFont="1" applyNumberFormat="1">
      <alignment horizontal="left" readingOrder="0" vertical="center"/>
    </xf>
    <xf borderId="0" fillId="6" fontId="30" numFmtId="3" xfId="0" applyAlignment="1" applyFont="1" applyNumberFormat="1">
      <alignment horizontal="right" readingOrder="0" vertical="center"/>
    </xf>
    <xf borderId="0" fillId="10" fontId="24" numFmtId="3" xfId="0" applyAlignment="1" applyFill="1" applyFont="1" applyNumberFormat="1">
      <alignment horizontal="center" readingOrder="0" vertical="center"/>
    </xf>
    <xf borderId="0" fillId="6" fontId="29" numFmtId="3" xfId="0" applyAlignment="1" applyFont="1" applyNumberFormat="1">
      <alignment horizontal="center" readingOrder="0" vertical="center"/>
    </xf>
    <xf borderId="0" fillId="8" fontId="23" numFmtId="0" xfId="0" applyFont="1"/>
    <xf borderId="0" fillId="6" fontId="29" numFmtId="0" xfId="0" applyAlignment="1" applyFont="1">
      <alignment horizontal="center"/>
    </xf>
    <xf borderId="0" fillId="7" fontId="23" numFmtId="0" xfId="0" applyAlignment="1" applyFont="1">
      <alignment horizontal="center" readingOrder="0"/>
    </xf>
    <xf borderId="0" fillId="7" fontId="24" numFmtId="3" xfId="0" applyAlignment="1" applyFont="1" applyNumberFormat="1">
      <alignment horizontal="left" readingOrder="0" vertical="center"/>
    </xf>
    <xf borderId="0" fillId="7" fontId="31" numFmtId="3" xfId="0" applyAlignment="1" applyFont="1" applyNumberFormat="1">
      <alignment horizontal="right" readingOrder="0" vertical="center"/>
    </xf>
    <xf borderId="0" fillId="11" fontId="24" numFmtId="3" xfId="0" applyAlignment="1" applyFill="1" applyFont="1" applyNumberFormat="1">
      <alignment horizontal="center" readingOrder="0" vertical="center"/>
    </xf>
    <xf borderId="0" fillId="6" fontId="29" numFmtId="3" xfId="0" applyAlignment="1" applyFont="1" applyNumberFormat="1">
      <alignment horizontal="right" readingOrder="0" vertical="center"/>
    </xf>
    <xf borderId="0" fillId="12" fontId="24" numFmtId="3" xfId="0" applyAlignment="1" applyFill="1" applyFont="1" applyNumberFormat="1">
      <alignment horizontal="center" readingOrder="0" vertical="center"/>
    </xf>
    <xf borderId="0" fillId="7" fontId="23" numFmtId="0" xfId="0" applyAlignment="1" applyFont="1">
      <alignment horizontal="center"/>
    </xf>
    <xf borderId="0" fillId="0" fontId="32" numFmtId="9" xfId="0" applyAlignment="1" applyFont="1" applyNumberFormat="1">
      <alignment horizontal="center"/>
    </xf>
    <xf borderId="4" fillId="11" fontId="23" numFmtId="0" xfId="0" applyAlignment="1" applyBorder="1" applyFont="1">
      <alignment horizontal="center" readingOrder="0" vertical="center"/>
    </xf>
    <xf borderId="4" fillId="13" fontId="23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4" fillId="0" fontId="23" numFmtId="0" xfId="0" applyAlignment="1" applyBorder="1" applyFont="1">
      <alignment horizontal="center" readingOrder="0" vertical="center"/>
    </xf>
    <xf borderId="5" fillId="12" fontId="23" numFmtId="0" xfId="0" applyAlignment="1" applyBorder="1" applyFont="1">
      <alignment horizontal="center" readingOrder="0" vertical="center"/>
    </xf>
    <xf borderId="5" fillId="14" fontId="23" numFmtId="0" xfId="0" applyAlignment="1" applyBorder="1" applyFill="1" applyFont="1">
      <alignment horizontal="center" readingOrder="0" vertical="center"/>
    </xf>
    <xf borderId="4" fillId="0" fontId="23" numFmtId="2" xfId="0" applyAlignment="1" applyBorder="1" applyFont="1" applyNumberFormat="1">
      <alignment horizontal="center" readingOrder="0" vertical="center"/>
    </xf>
    <xf borderId="6" fillId="12" fontId="33" numFmtId="0" xfId="0" applyAlignment="1" applyBorder="1" applyFont="1">
      <alignment horizontal="center" readingOrder="0" vertical="center"/>
    </xf>
    <xf borderId="6" fillId="14" fontId="33" numFmtId="0" xfId="0" applyAlignment="1" applyBorder="1" applyFont="1">
      <alignment horizontal="center" readingOrder="0" vertical="center"/>
    </xf>
    <xf borderId="7" fillId="12" fontId="33" numFmtId="0" xfId="0" applyAlignment="1" applyBorder="1" applyFont="1">
      <alignment horizontal="center" readingOrder="0" vertical="center"/>
    </xf>
    <xf borderId="7" fillId="14" fontId="3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4" fillId="0" fontId="23" numFmtId="0" xfId="0" applyAlignment="1" applyBorder="1" applyFont="1">
      <alignment horizontal="center" vertical="center"/>
    </xf>
    <xf borderId="0" fillId="0" fontId="35" numFmtId="0" xfId="0" applyAlignment="1" applyFont="1">
      <alignment readingOrder="0"/>
    </xf>
    <xf borderId="0" fillId="6" fontId="29" numFmtId="0" xfId="0" applyAlignment="1" applyFont="1">
      <alignment horizontal="center" readingOrder="0"/>
    </xf>
    <xf borderId="0" fillId="8" fontId="36" numFmtId="0" xfId="0" applyAlignment="1" applyFont="1">
      <alignment horizontal="center" readingOrder="0" vertical="center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12" fontId="37" numFmtId="3" xfId="0" applyAlignment="1" applyFont="1" applyNumberFormat="1">
      <alignment horizontal="center" readingOrder="0" vertical="center"/>
    </xf>
    <xf borderId="0" fillId="15" fontId="38" numFmtId="0" xfId="0" applyAlignment="1" applyFill="1" applyFont="1">
      <alignment horizontal="center" readingOrder="0" vertical="center"/>
    </xf>
    <xf borderId="0" fillId="9" fontId="38" numFmtId="0" xfId="0" applyAlignment="1" applyFont="1">
      <alignment horizontal="center" readingOrder="0" vertical="center"/>
    </xf>
    <xf borderId="0" fillId="0" fontId="32" numFmtId="0" xfId="0" applyAlignment="1" applyFont="1">
      <alignment horizontal="center"/>
    </xf>
    <xf borderId="0" fillId="6" fontId="23" numFmtId="0" xfId="0" applyFont="1"/>
    <xf borderId="5" fillId="14" fontId="39" numFmtId="0" xfId="0" applyAlignment="1" applyBorder="1" applyFont="1">
      <alignment horizontal="center" readingOrder="0" vertical="center"/>
    </xf>
    <xf borderId="5" fillId="12" fontId="39" numFmtId="0" xfId="0" applyAlignment="1" applyBorder="1" applyFont="1">
      <alignment horizontal="center" readingOrder="0" vertical="center"/>
    </xf>
    <xf borderId="6" fillId="12" fontId="40" numFmtId="0" xfId="0" applyAlignment="1" applyBorder="1" applyFont="1">
      <alignment horizontal="center" readingOrder="0" vertical="center"/>
    </xf>
    <xf borderId="5" fillId="14" fontId="24" numFmtId="0" xfId="0" applyAlignment="1" applyBorder="1" applyFont="1">
      <alignment horizontal="center" readingOrder="0" vertical="center"/>
    </xf>
    <xf borderId="6" fillId="14" fontId="40" numFmtId="0" xfId="0" applyAlignment="1" applyBorder="1" applyFont="1">
      <alignment horizontal="center" readingOrder="0" vertical="center"/>
    </xf>
    <xf borderId="0" fillId="4" fontId="41" numFmtId="0" xfId="0" applyAlignment="1" applyFont="1">
      <alignment horizontal="center" vertical="center"/>
    </xf>
    <xf borderId="0" fillId="7" fontId="19" numFmtId="0" xfId="0" applyAlignment="1" applyFont="1">
      <alignment horizontal="left" readingOrder="0" vertical="center"/>
    </xf>
    <xf borderId="0" fillId="7" fontId="42" numFmtId="0" xfId="0" applyAlignment="1" applyFont="1">
      <alignment horizontal="right" readingOrder="0" vertical="center"/>
    </xf>
    <xf borderId="0" fillId="9" fontId="43" numFmtId="3" xfId="0" applyAlignment="1" applyFont="1" applyNumberFormat="1">
      <alignment horizontal="center" vertical="center"/>
    </xf>
    <xf borderId="0" fillId="4" fontId="34" numFmtId="0" xfId="0" applyFont="1"/>
    <xf borderId="0" fillId="16" fontId="23" numFmtId="3" xfId="0" applyAlignment="1" applyFill="1" applyFont="1" applyNumberFormat="1">
      <alignment horizontal="center" vertical="center"/>
    </xf>
    <xf borderId="0" fillId="17" fontId="29" numFmtId="165" xfId="0" applyAlignment="1" applyFill="1" applyFont="1" applyNumberFormat="1">
      <alignment horizontal="center" readingOrder="0" vertical="center"/>
    </xf>
    <xf borderId="0" fillId="18" fontId="29" numFmtId="3" xfId="0" applyAlignment="1" applyFill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bottom"/>
    </xf>
    <xf borderId="0" fillId="0" fontId="41" numFmtId="3" xfId="0" applyAlignment="1" applyFont="1" applyNumberFormat="1">
      <alignment horizontal="center" vertical="center"/>
    </xf>
    <xf borderId="0" fillId="4" fontId="23" numFmtId="0" xfId="0" applyAlignment="1" applyFont="1">
      <alignment horizontal="center" vertical="center"/>
    </xf>
    <xf borderId="0" fillId="12" fontId="24" numFmtId="3" xfId="0" applyAlignment="1" applyFont="1" applyNumberFormat="1">
      <alignment horizontal="left" readingOrder="0" vertical="center"/>
    </xf>
    <xf borderId="0" fillId="12" fontId="23" numFmtId="0" xfId="0" applyAlignment="1" applyFont="1">
      <alignment horizontal="center" readingOrder="0" vertical="center"/>
    </xf>
    <xf borderId="0" fillId="19" fontId="29" numFmtId="3" xfId="0" applyAlignment="1" applyFill="1" applyFont="1" applyNumberFormat="1">
      <alignment horizontal="center" vertical="center"/>
    </xf>
    <xf borderId="0" fillId="17" fontId="29" numFmtId="165" xfId="0" applyAlignment="1" applyFont="1" applyNumberFormat="1">
      <alignment horizontal="center" vertical="center"/>
    </xf>
    <xf borderId="0" fillId="4" fontId="44" numFmtId="0" xfId="0" applyFont="1"/>
    <xf borderId="0" fillId="16" fontId="44" numFmtId="0" xfId="0" applyFont="1"/>
    <xf borderId="0" fillId="18" fontId="29" numFmtId="3" xfId="0" applyAlignment="1" applyFont="1" applyNumberFormat="1">
      <alignment horizontal="center" vertical="center"/>
    </xf>
    <xf borderId="0" fillId="0" fontId="23" numFmtId="166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horizontal="center" readingOrder="0" vertical="center"/>
    </xf>
    <xf borderId="0" fillId="7" fontId="23" numFmtId="0" xfId="0" applyAlignment="1" applyFont="1">
      <alignment readingOrder="0" vertical="center"/>
    </xf>
    <xf borderId="0" fillId="12" fontId="23" numFmtId="167" xfId="0" applyAlignment="1" applyFont="1" applyNumberFormat="1">
      <alignment horizontal="center" readingOrder="0" vertical="center"/>
    </xf>
    <xf borderId="0" fillId="11" fontId="23" numFmtId="3" xfId="0" applyAlignment="1" applyFont="1" applyNumberFormat="1">
      <alignment horizontal="center" vertical="center"/>
    </xf>
    <xf borderId="0" fillId="16" fontId="34" numFmtId="0" xfId="0" applyFont="1"/>
    <xf borderId="0" fillId="0" fontId="23" numFmtId="3" xfId="0" applyAlignment="1" applyFont="1" applyNumberFormat="1">
      <alignment horizontal="center" vertical="center"/>
    </xf>
    <xf borderId="0" fillId="12" fontId="23" numFmtId="20" xfId="0" applyAlignment="1" applyFont="1" applyNumberFormat="1">
      <alignment horizontal="center" vertical="center"/>
    </xf>
    <xf borderId="0" fillId="12" fontId="23" numFmtId="3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horizontal="left" vertical="center"/>
    </xf>
    <xf borderId="0" fillId="0" fontId="23" numFmtId="3" xfId="0" applyAlignment="1" applyFont="1" applyNumberFormat="1">
      <alignment horizontal="right" vertical="center"/>
    </xf>
    <xf borderId="0" fillId="4" fontId="23" numFmtId="3" xfId="0" applyAlignment="1" applyFont="1" applyNumberFormat="1">
      <alignment horizontal="right" vertical="center"/>
    </xf>
    <xf borderId="0" fillId="4" fontId="23" numFmtId="3" xfId="0" applyAlignment="1" applyFont="1" applyNumberFormat="1">
      <alignment horizontal="right" readingOrder="0" vertical="center"/>
    </xf>
    <xf borderId="0" fillId="4" fontId="24" numFmtId="3" xfId="0" applyAlignment="1" applyFont="1" applyNumberFormat="1">
      <alignment horizontal="left" readingOrder="0" vertical="center"/>
    </xf>
    <xf borderId="0" fillId="4" fontId="24" numFmtId="3" xfId="0" applyAlignment="1" applyFont="1" applyNumberFormat="1">
      <alignment horizontal="center" readingOrder="0" vertical="center"/>
    </xf>
    <xf borderId="0" fillId="4" fontId="29" numFmtId="3" xfId="0" applyAlignment="1" applyFont="1" applyNumberFormat="1">
      <alignment horizontal="center" vertical="center"/>
    </xf>
    <xf borderId="0" fillId="4" fontId="29" numFmtId="3" xfId="0" applyAlignment="1" applyFont="1" applyNumberFormat="1">
      <alignment horizontal="right" vertical="center"/>
    </xf>
    <xf borderId="0" fillId="0" fontId="23" numFmtId="3" xfId="0" applyAlignment="1" applyFont="1" applyNumberFormat="1">
      <alignment horizontal="left" readingOrder="0" vertical="center"/>
    </xf>
    <xf borderId="0" fillId="11" fontId="23" numFmtId="3" xfId="0" applyAlignment="1" applyFont="1" applyNumberFormat="1">
      <alignment horizontal="center" readingOrder="0" vertical="center"/>
    </xf>
    <xf borderId="0" fillId="6" fontId="24" numFmtId="3" xfId="0" applyAlignment="1" applyFont="1" applyNumberFormat="1">
      <alignment horizontal="center" vertical="center"/>
    </xf>
    <xf borderId="0" fillId="6" fontId="29" numFmtId="3" xfId="0" applyAlignment="1" applyFont="1" applyNumberFormat="1">
      <alignment horizontal="center" vertical="center"/>
    </xf>
    <xf borderId="0" fillId="4" fontId="23" numFmtId="3" xfId="0" applyAlignment="1" applyFont="1" applyNumberFormat="1">
      <alignment horizontal="left" readingOrder="0" vertical="center"/>
    </xf>
    <xf borderId="0" fillId="4" fontId="23" numFmtId="3" xfId="0" applyAlignment="1" applyFont="1" applyNumberFormat="1">
      <alignment horizontal="center" readingOrder="0" vertical="center"/>
    </xf>
    <xf borderId="0" fillId="7" fontId="23" numFmtId="3" xfId="0" applyAlignment="1" applyFont="1" applyNumberFormat="1">
      <alignment readingOrder="0" vertical="center"/>
    </xf>
    <xf borderId="0" fillId="0" fontId="23" numFmtId="3" xfId="0" applyAlignment="1" applyFont="1" applyNumberFormat="1">
      <alignment horizontal="right" readingOrder="0" vertical="center"/>
    </xf>
    <xf borderId="0" fillId="6" fontId="29" numFmtId="0" xfId="0" applyAlignment="1" applyFont="1">
      <alignment horizontal="center" readingOrder="0" vertical="center"/>
    </xf>
    <xf borderId="0" fillId="4" fontId="45" numFmtId="0" xfId="0" applyAlignment="1" applyFont="1">
      <alignment vertical="center"/>
    </xf>
    <xf borderId="0" fillId="6" fontId="29" numFmtId="3" xfId="0" applyAlignment="1" applyFont="1" applyNumberFormat="1">
      <alignment readingOrder="0" vertical="center"/>
    </xf>
    <xf borderId="0" fillId="0" fontId="23" numFmtId="3" xfId="0" applyAlignment="1" applyFont="1" applyNumberFormat="1">
      <alignment vertical="center"/>
    </xf>
    <xf borderId="0" fillId="0" fontId="45" numFmtId="3" xfId="0" applyAlignment="1" applyFont="1" applyNumberFormat="1">
      <alignment horizontal="right" vertical="center"/>
    </xf>
    <xf borderId="0" fillId="4" fontId="45" numFmtId="3" xfId="0" applyAlignment="1" applyFont="1" applyNumberFormat="1">
      <alignment horizontal="right" vertical="center"/>
    </xf>
    <xf borderId="0" fillId="16" fontId="45" numFmtId="3" xfId="0" applyAlignment="1" applyFont="1" applyNumberFormat="1">
      <alignment vertical="center"/>
    </xf>
    <xf borderId="0" fillId="0" fontId="45" numFmtId="3" xfId="0" applyAlignment="1" applyFont="1" applyNumberFormat="1">
      <alignment vertical="center"/>
    </xf>
    <xf borderId="0" fillId="12" fontId="33" numFmtId="3" xfId="0" applyAlignment="1" applyFont="1" applyNumberFormat="1">
      <alignment horizontal="center" readingOrder="0" vertical="center"/>
    </xf>
    <xf borderId="0" fillId="11" fontId="23" numFmtId="3" xfId="0" applyAlignment="1" applyFont="1" applyNumberFormat="1">
      <alignment horizontal="right" readingOrder="0" vertical="center"/>
    </xf>
    <xf borderId="0" fillId="11" fontId="23" numFmtId="3" xfId="0" applyAlignment="1" applyFont="1" applyNumberFormat="1">
      <alignment horizontal="left" readingOrder="0" vertical="center"/>
    </xf>
    <xf borderId="0" fillId="0" fontId="33" numFmtId="3" xfId="0" applyAlignment="1" applyFont="1" applyNumberFormat="1">
      <alignment horizontal="left" readingOrder="0" vertical="center"/>
    </xf>
    <xf borderId="0" fillId="0" fontId="23" numFmtId="165" xfId="0" applyAlignment="1" applyFont="1" applyNumberFormat="1">
      <alignment horizontal="center" readingOrder="0" vertical="center"/>
    </xf>
    <xf borderId="8" fillId="12" fontId="23" numFmtId="3" xfId="0" applyAlignment="1" applyBorder="1" applyFont="1" applyNumberFormat="1">
      <alignment horizontal="center" readingOrder="0" vertical="center"/>
    </xf>
    <xf borderId="0" fillId="16" fontId="23" numFmtId="3" xfId="0" applyAlignment="1" applyFont="1" applyNumberFormat="1">
      <alignment horizontal="center" readingOrder="0" vertical="center"/>
    </xf>
    <xf borderId="0" fillId="6" fontId="9" numFmtId="0" xfId="0" applyAlignment="1" applyFont="1">
      <alignment horizontal="center"/>
    </xf>
    <xf borderId="0" fillId="6" fontId="9" numFmtId="0" xfId="0" applyAlignment="1" applyFont="1">
      <alignment horizontal="center" readingOrder="0"/>
    </xf>
    <xf borderId="0" fillId="0" fontId="34" numFmtId="0" xfId="0" applyAlignment="1" applyFont="1">
      <alignment horizontal="center"/>
    </xf>
    <xf borderId="0" fillId="6" fontId="9" numFmtId="168" xfId="0" applyAlignment="1" applyFont="1" applyNumberFormat="1">
      <alignment horizontal="center" readingOrder="0"/>
    </xf>
    <xf borderId="0" fillId="0" fontId="34" numFmtId="3" xfId="0" applyAlignment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4" numFmtId="168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 vertical="top"/>
    </xf>
    <xf borderId="0" fillId="2" fontId="46" numFmtId="49" xfId="0" applyAlignment="1" applyFont="1" applyNumberFormat="1">
      <alignment horizontal="left" vertical="center"/>
    </xf>
    <xf borderId="0" fillId="2" fontId="1" numFmtId="49" xfId="0" applyAlignment="1" applyFont="1" applyNumberFormat="1">
      <alignment horizontal="left" vertical="bottom"/>
    </xf>
    <xf borderId="0" fillId="2" fontId="3" numFmtId="49" xfId="0" applyAlignment="1" applyFont="1" applyNumberFormat="1">
      <alignment horizontal="center" textRotation="90" vertical="top"/>
    </xf>
    <xf borderId="0" fillId="2" fontId="1" numFmtId="0" xfId="0" applyAlignment="1" applyFont="1">
      <alignment horizontal="center" vertical="top"/>
    </xf>
    <xf borderId="0" fillId="2" fontId="8" numFmtId="0" xfId="0" applyAlignment="1" applyFont="1">
      <alignment horizontal="left" vertical="bottom"/>
    </xf>
    <xf borderId="0" fillId="2" fontId="47" numFmtId="0" xfId="0" applyAlignment="1" applyFont="1">
      <alignment horizontal="left" readingOrder="0" vertical="bottom"/>
    </xf>
    <xf borderId="0" fillId="2" fontId="1" numFmtId="0" xfId="0" applyAlignment="1" applyFont="1">
      <alignment horizontal="left" vertical="bottom"/>
    </xf>
    <xf borderId="0" fillId="2" fontId="4" numFmtId="0" xfId="0" applyAlignment="1" applyFont="1">
      <alignment horizontal="left" textRotation="90" vertical="center"/>
    </xf>
    <xf borderId="0" fillId="2" fontId="48" numFmtId="0" xfId="0" applyAlignment="1" applyFont="1">
      <alignment horizontal="left" vertical="center"/>
    </xf>
    <xf borderId="0" fillId="2" fontId="45" numFmtId="0" xfId="0" applyAlignment="1" applyFont="1">
      <alignment vertical="center"/>
    </xf>
    <xf borderId="0" fillId="2" fontId="4" numFmtId="0" xfId="0" applyAlignment="1" applyFont="1">
      <alignment horizontal="left" textRotation="90" vertical="top"/>
    </xf>
    <xf borderId="0" fillId="2" fontId="48" numFmtId="3" xfId="0" applyAlignment="1" applyFont="1" applyNumberFormat="1">
      <alignment horizontal="left" vertical="bottom"/>
    </xf>
    <xf borderId="0" fillId="2" fontId="45" numFmtId="0" xfId="0" applyFont="1"/>
    <xf borderId="0" fillId="2" fontId="48" numFmtId="3" xfId="0" applyAlignment="1" applyFont="1" applyNumberFormat="1">
      <alignment horizontal="left" vertical="top"/>
    </xf>
    <xf borderId="0" fillId="20" fontId="48" numFmtId="3" xfId="0" applyAlignment="1" applyFill="1" applyFont="1" applyNumberFormat="1">
      <alignment horizontal="left" vertical="top"/>
    </xf>
    <xf borderId="0" fillId="2" fontId="48" numFmtId="3" xfId="0" applyAlignment="1" applyFont="1" applyNumberFormat="1">
      <alignment horizontal="left" shrinkToFit="0" vertical="bottom" wrapText="1"/>
    </xf>
    <xf borderId="0" fillId="20" fontId="48" numFmtId="3" xfId="0" applyAlignment="1" applyFont="1" applyNumberFormat="1">
      <alignment horizontal="left" shrinkToFit="0" vertical="top" wrapText="1"/>
    </xf>
    <xf borderId="0" fillId="2" fontId="49" numFmtId="3" xfId="0" applyAlignment="1" applyFont="1" applyNumberFormat="1">
      <alignment horizontal="left" readingOrder="0" shrinkToFit="0" vertical="top" wrapText="1"/>
    </xf>
    <xf borderId="0" fillId="2" fontId="48" numFmtId="3" xfId="0" applyAlignment="1" applyFont="1" applyNumberFormat="1">
      <alignment horizontal="left" shrinkToFit="0" vertical="top" wrapText="1"/>
    </xf>
    <xf borderId="0" fillId="2" fontId="8" numFmtId="3" xfId="0" applyAlignment="1" applyFont="1" applyNumberFormat="1">
      <alignment horizontal="left" shrinkToFit="0" vertical="top" wrapText="1"/>
    </xf>
    <xf borderId="0" fillId="2" fontId="1" numFmtId="169" xfId="0" applyAlignment="1" applyFont="1" applyNumberFormat="1">
      <alignment horizontal="left" vertical="top"/>
    </xf>
    <xf borderId="0" fillId="2" fontId="50" numFmtId="3" xfId="0" applyAlignment="1" applyFont="1" applyNumberFormat="1">
      <alignment horizontal="left" vertical="bottom"/>
    </xf>
    <xf borderId="9" fillId="2" fontId="4" numFmtId="3" xfId="0" applyAlignment="1" applyBorder="1" applyFont="1" applyNumberFormat="1">
      <alignment horizontal="center" readingOrder="0"/>
    </xf>
    <xf borderId="10" fillId="2" fontId="4" numFmtId="3" xfId="0" applyAlignment="1" applyBorder="1" applyFont="1" applyNumberFormat="1">
      <alignment horizontal="center" readingOrder="0"/>
    </xf>
    <xf borderId="11" fillId="2" fontId="4" numFmtId="3" xfId="0" applyAlignment="1" applyBorder="1" applyFont="1" applyNumberFormat="1">
      <alignment horizontal="center" readingOrder="0"/>
    </xf>
    <xf borderId="12" fillId="2" fontId="51" numFmtId="49" xfId="0" applyAlignment="1" applyBorder="1" applyFont="1" applyNumberFormat="1">
      <alignment horizontal="center" readingOrder="0" vertical="center"/>
    </xf>
    <xf borderId="13" fillId="2" fontId="51" numFmtId="3" xfId="0" applyAlignment="1" applyBorder="1" applyFont="1" applyNumberFormat="1">
      <alignment horizontal="center" readingOrder="0" vertical="center"/>
    </xf>
    <xf borderId="13" fillId="2" fontId="51" numFmtId="49" xfId="0" applyAlignment="1" applyBorder="1" applyFont="1" applyNumberFormat="1">
      <alignment horizontal="center" readingOrder="0" vertical="center"/>
    </xf>
    <xf borderId="14" fillId="2" fontId="51" numFmtId="49" xfId="0" applyAlignment="1" applyBorder="1" applyFont="1" applyNumberFormat="1">
      <alignment horizontal="center" readingOrder="0" vertical="center"/>
    </xf>
    <xf borderId="0" fillId="0" fontId="34" numFmtId="0" xfId="0" applyAlignment="1" applyFont="1">
      <alignment vertical="center"/>
    </xf>
    <xf borderId="0" fillId="2" fontId="45" numFmtId="0" xfId="0" applyAlignment="1" applyFont="1">
      <alignment readingOrder="0"/>
    </xf>
    <xf borderId="0" fillId="21" fontId="1" numFmtId="49" xfId="0" applyAlignment="1" applyFill="1" applyFont="1" applyNumberFormat="1">
      <alignment horizontal="center" vertical="top"/>
    </xf>
    <xf borderId="0" fillId="21" fontId="46" numFmtId="49" xfId="0" applyAlignment="1" applyFont="1" applyNumberFormat="1">
      <alignment horizontal="left" vertical="center"/>
    </xf>
    <xf borderId="0" fillId="21" fontId="1" numFmtId="49" xfId="0" applyAlignment="1" applyFont="1" applyNumberFormat="1">
      <alignment horizontal="left" vertical="bottom"/>
    </xf>
    <xf borderId="0" fillId="21" fontId="3" numFmtId="49" xfId="0" applyAlignment="1" applyFont="1" applyNumberFormat="1">
      <alignment horizontal="center" textRotation="90" vertical="top"/>
    </xf>
    <xf borderId="0" fillId="21" fontId="1" numFmtId="0" xfId="0" applyAlignment="1" applyFont="1">
      <alignment horizontal="center" vertical="top"/>
    </xf>
    <xf borderId="0" fillId="21" fontId="8" numFmtId="0" xfId="0" applyAlignment="1" applyFont="1">
      <alignment horizontal="left" vertical="bottom"/>
    </xf>
    <xf borderId="0" fillId="21" fontId="1" numFmtId="0" xfId="0" applyAlignment="1" applyFont="1">
      <alignment horizontal="left" vertical="bottom"/>
    </xf>
    <xf borderId="0" fillId="21" fontId="4" numFmtId="0" xfId="0" applyAlignment="1" applyFont="1">
      <alignment horizontal="left" textRotation="90" vertical="center"/>
    </xf>
    <xf borderId="0" fillId="21" fontId="48" numFmtId="0" xfId="0" applyAlignment="1" applyFont="1">
      <alignment horizontal="left" vertical="center"/>
    </xf>
    <xf borderId="0" fillId="21" fontId="45" numFmtId="0" xfId="0" applyAlignment="1" applyFont="1">
      <alignment vertical="center"/>
    </xf>
    <xf borderId="0" fillId="21" fontId="4" numFmtId="0" xfId="0" applyAlignment="1" applyFont="1">
      <alignment horizontal="left" textRotation="90" vertical="top"/>
    </xf>
    <xf borderId="0" fillId="21" fontId="48" numFmtId="3" xfId="0" applyAlignment="1" applyFont="1" applyNumberFormat="1">
      <alignment horizontal="left" vertical="bottom"/>
    </xf>
    <xf borderId="0" fillId="21" fontId="45" numFmtId="0" xfId="0" applyFont="1"/>
    <xf borderId="0" fillId="21" fontId="48" numFmtId="3" xfId="0" applyAlignment="1" applyFont="1" applyNumberFormat="1">
      <alignment horizontal="left" vertical="top"/>
    </xf>
    <xf borderId="0" fillId="21" fontId="49" numFmtId="3" xfId="0" applyAlignment="1" applyFont="1" applyNumberFormat="1">
      <alignment horizontal="left" readingOrder="0" vertical="top"/>
    </xf>
    <xf borderId="0" fillId="21" fontId="48" numFmtId="3" xfId="0" applyAlignment="1" applyFont="1" applyNumberFormat="1">
      <alignment horizontal="left" readingOrder="0" vertical="top"/>
    </xf>
    <xf borderId="0" fillId="21" fontId="50" numFmtId="3" xfId="0" applyAlignment="1" applyFont="1" applyNumberFormat="1">
      <alignment horizontal="left" vertical="top"/>
    </xf>
    <xf borderId="0" fillId="21" fontId="50" numFmtId="3" xfId="0" applyAlignment="1" applyFont="1" applyNumberFormat="1">
      <alignment horizontal="left" readingOrder="0" vertical="top"/>
    </xf>
    <xf borderId="0" fillId="21" fontId="1" numFmtId="3" xfId="0" applyAlignment="1" applyFont="1" applyNumberFormat="1">
      <alignment horizontal="left"/>
    </xf>
    <xf borderId="0" fillId="21" fontId="1" numFmtId="169" xfId="0" applyAlignment="1" applyFont="1" applyNumberFormat="1">
      <alignment horizontal="left" vertical="top"/>
    </xf>
    <xf borderId="0" fillId="21" fontId="1" numFmtId="0" xfId="0" applyFont="1"/>
    <xf borderId="15" fillId="21" fontId="50" numFmtId="49" xfId="0" applyAlignment="1" applyBorder="1" applyFont="1" applyNumberFormat="1">
      <alignment horizontal="left" vertical="bottom"/>
    </xf>
    <xf borderId="15" fillId="0" fontId="6" numFmtId="0" xfId="0" applyBorder="1" applyFont="1"/>
    <xf borderId="0" fillId="6" fontId="9" numFmtId="3" xfId="0" applyAlignment="1" applyFont="1" applyNumberFormat="1">
      <alignment horizontal="center" readingOrder="0" vertical="center"/>
    </xf>
    <xf borderId="0" fillId="0" fontId="34" numFmtId="3" xfId="0" applyAlignment="1" applyFont="1" applyNumberFormat="1">
      <alignment vertical="center"/>
    </xf>
    <xf borderId="0" fillId="6" fontId="52" numFmtId="3" xfId="0" applyAlignment="1" applyFont="1" applyNumberFormat="1">
      <alignment horizontal="center" readingOrder="0" vertical="center"/>
    </xf>
    <xf borderId="0" fillId="6" fontId="4" numFmtId="3" xfId="0" applyAlignment="1" applyFont="1" applyNumberFormat="1">
      <alignment horizontal="center" readingOrder="0" vertical="center"/>
    </xf>
    <xf borderId="0" fillId="11" fontId="34" numFmtId="3" xfId="0" applyAlignment="1" applyFont="1" applyNumberFormat="1">
      <alignment horizontal="center" readingOrder="0" vertical="center"/>
    </xf>
    <xf borderId="0" fillId="11" fontId="53" numFmtId="3" xfId="0" applyAlignment="1" applyFont="1" applyNumberFormat="1">
      <alignment horizontal="left" readingOrder="0" vertical="center"/>
    </xf>
    <xf borderId="0" fillId="11" fontId="53" numFmtId="3" xfId="0" applyAlignment="1" applyFont="1" applyNumberFormat="1">
      <alignment horizontal="center" readingOrder="0" vertical="center"/>
    </xf>
    <xf borderId="0" fillId="0" fontId="34" numFmtId="3" xfId="0" applyAlignment="1" applyFont="1" applyNumberFormat="1">
      <alignment readingOrder="0" vertical="center"/>
    </xf>
    <xf borderId="0" fillId="0" fontId="34" numFmtId="165" xfId="0" applyAlignment="1" applyFont="1" applyNumberFormat="1">
      <alignment horizontal="center" readingOrder="0" vertical="center"/>
    </xf>
    <xf borderId="0" fillId="0" fontId="34" numFmtId="3" xfId="0" applyAlignment="1" applyFont="1" applyNumberFormat="1">
      <alignment horizontal="center" readingOrder="0" vertical="center"/>
    </xf>
    <xf borderId="0" fillId="0" fontId="34" numFmtId="3" xfId="0" applyAlignment="1" applyFont="1" applyNumberFormat="1">
      <alignment horizontal="center" vertical="center"/>
    </xf>
    <xf borderId="0" fillId="0" fontId="53" numFmtId="3" xfId="0" applyAlignment="1" applyFont="1" applyNumberFormat="1">
      <alignment horizontal="left" readingOrder="0" vertical="center"/>
    </xf>
    <xf borderId="0" fillId="0" fontId="53" numFmtId="3" xfId="0" applyAlignment="1" applyFont="1" applyNumberFormat="1">
      <alignment horizontal="center" readingOrder="0" vertical="center"/>
    </xf>
    <xf borderId="0" fillId="11" fontId="45" numFmtId="3" xfId="0" applyAlignment="1" applyFont="1" applyNumberFormat="1">
      <alignment horizontal="center" vertical="center"/>
    </xf>
    <xf borderId="0" fillId="0" fontId="34" numFmtId="165" xfId="0" applyAlignment="1" applyFont="1" applyNumberFormat="1">
      <alignment horizontal="center" vertical="center"/>
    </xf>
    <xf borderId="0" fillId="0" fontId="45" numFmtId="3" xfId="0" applyAlignment="1" applyFont="1" applyNumberFormat="1">
      <alignment horizontal="center" vertical="center"/>
    </xf>
    <xf borderId="0" fillId="0" fontId="34" numFmtId="0" xfId="0" applyAlignment="1" applyFont="1">
      <alignment horizontal="center" readingOrder="0" vertical="center"/>
    </xf>
    <xf borderId="0" fillId="0" fontId="53" numFmtId="3" xfId="0" applyAlignment="1" applyFont="1" applyNumberFormat="1">
      <alignment horizontal="left" vertical="center"/>
    </xf>
    <xf borderId="0" fillId="0" fontId="53" numFmtId="3" xfId="0" applyAlignment="1" applyFont="1" applyNumberFormat="1">
      <alignment vertical="center"/>
    </xf>
    <xf borderId="0" fillId="0" fontId="45" numFmtId="3" xfId="0" applyAlignment="1" applyFont="1" applyNumberFormat="1">
      <alignment horizontal="center" readingOrder="0" vertical="center"/>
    </xf>
    <xf borderId="0" fillId="2" fontId="54" numFmtId="49" xfId="0" applyAlignment="1" applyFont="1" applyNumberFormat="1">
      <alignment horizontal="left" vertical="center"/>
    </xf>
    <xf borderId="0" fillId="2" fontId="45" numFmtId="3" xfId="0" applyFont="1" applyNumberFormat="1"/>
    <xf borderId="15" fillId="2" fontId="55" numFmtId="49" xfId="0" applyAlignment="1" applyBorder="1" applyFont="1" applyNumberFormat="1">
      <alignment horizontal="left" vertical="bottom"/>
    </xf>
    <xf borderId="0" fillId="21" fontId="54" numFmtId="49" xfId="0" applyAlignment="1" applyFont="1" applyNumberFormat="1">
      <alignment horizontal="left" vertical="center"/>
    </xf>
    <xf borderId="0" fillId="21" fontId="50" numFmtId="3" xfId="0" applyAlignment="1" applyFont="1" applyNumberFormat="1">
      <alignment horizontal="left" vertical="bottom"/>
    </xf>
    <xf borderId="15" fillId="21" fontId="55" numFmtId="49" xfId="0" applyAlignment="1" applyBorder="1" applyFont="1" applyNumberFormat="1">
      <alignment horizontal="left" vertical="bottom"/>
    </xf>
    <xf borderId="0" fillId="2" fontId="50" numFmtId="3" xfId="0" applyAlignment="1" applyFont="1" applyNumberFormat="1">
      <alignment horizontal="left" vertical="top"/>
    </xf>
    <xf borderId="0" fillId="21" fontId="50" numFmtId="169" xfId="0" applyAlignment="1" applyFont="1" applyNumberFormat="1">
      <alignment horizontal="left" vertical="top"/>
    </xf>
    <xf borderId="0" fillId="2" fontId="8" numFmtId="49" xfId="0" applyAlignment="1" applyFont="1" applyNumberFormat="1">
      <alignment horizontal="left" vertical="bottom"/>
    </xf>
    <xf borderId="0" fillId="2" fontId="34" numFmtId="0" xfId="0" applyAlignment="1" applyFont="1">
      <alignment vertical="center"/>
    </xf>
    <xf borderId="0" fillId="2" fontId="34" numFmtId="0" xfId="0" applyFont="1"/>
    <xf borderId="0" fillId="2" fontId="8" numFmtId="169" xfId="0" applyAlignment="1" applyFont="1" applyNumberFormat="1">
      <alignment horizontal="left" vertical="top"/>
    </xf>
    <xf borderId="0" fillId="2" fontId="34" numFmtId="3" xfId="0" applyFont="1" applyNumberFormat="1"/>
    <xf borderId="15" fillId="2" fontId="49" numFmtId="49" xfId="0" applyAlignment="1" applyBorder="1" applyFont="1" applyNumberFormat="1">
      <alignment horizontal="left" vertical="bottom"/>
    </xf>
    <xf borderId="0" fillId="21" fontId="56" numFmtId="49" xfId="0" applyAlignment="1" applyFont="1" applyNumberFormat="1">
      <alignment horizontal="left" vertical="bottom"/>
    </xf>
    <xf borderId="0" fillId="21" fontId="56" numFmtId="0" xfId="0" applyAlignment="1" applyFont="1">
      <alignment horizontal="center" vertical="top"/>
    </xf>
    <xf borderId="0" fillId="21" fontId="56" numFmtId="0" xfId="0" applyAlignment="1" applyFont="1">
      <alignment horizontal="left" vertical="bottom"/>
    </xf>
    <xf borderId="0" fillId="21" fontId="57" numFmtId="0" xfId="0" applyAlignment="1" applyFont="1">
      <alignment horizontal="left" textRotation="90" vertical="center"/>
    </xf>
    <xf borderId="0" fillId="21" fontId="58" numFmtId="0" xfId="0" applyAlignment="1" applyFont="1">
      <alignment vertical="center"/>
    </xf>
    <xf borderId="0" fillId="21" fontId="57" numFmtId="0" xfId="0" applyAlignment="1" applyFont="1">
      <alignment horizontal="left" textRotation="90" vertical="top"/>
    </xf>
    <xf borderId="0" fillId="21" fontId="58" numFmtId="0" xfId="0" applyFont="1"/>
    <xf borderId="0" fillId="21" fontId="59" numFmtId="3" xfId="0" applyAlignment="1" applyFont="1" applyNumberFormat="1">
      <alignment horizontal="left" vertical="bottom"/>
    </xf>
    <xf borderId="0" fillId="21" fontId="56" numFmtId="169" xfId="0" applyAlignment="1" applyFont="1" applyNumberFormat="1">
      <alignment horizontal="left" vertical="top"/>
    </xf>
    <xf borderId="0" fillId="21" fontId="45" numFmtId="3" xfId="0" applyFont="1" applyNumberFormat="1"/>
    <xf borderId="15" fillId="21" fontId="60" numFmtId="49" xfId="0" applyAlignment="1" applyBorder="1" applyFont="1" applyNumberFormat="1">
      <alignment horizontal="left" vertical="bottom"/>
    </xf>
    <xf borderId="0" fillId="6" fontId="29" numFmtId="0" xfId="0" applyAlignment="1" applyFont="1">
      <alignment readingOrder="0" vertical="center"/>
    </xf>
    <xf borderId="0" fillId="22" fontId="23" numFmtId="0" xfId="0" applyAlignment="1" applyFill="1" applyFont="1">
      <alignment readingOrder="0" vertical="center"/>
    </xf>
    <xf borderId="0" fillId="22" fontId="23" numFmtId="0" xfId="0" applyAlignment="1" applyFont="1">
      <alignment horizontal="center" readingOrder="0" vertical="center"/>
    </xf>
    <xf borderId="0" fillId="22" fontId="23" numFmtId="3" xfId="0" applyAlignment="1" applyFont="1" applyNumberFormat="1">
      <alignment horizontal="center" readingOrder="0" vertical="center"/>
    </xf>
    <xf borderId="0" fillId="0" fontId="23" numFmtId="3" xfId="0" applyAlignment="1" applyFont="1" applyNumberFormat="1">
      <alignment readingOrder="0" vertical="center"/>
    </xf>
    <xf borderId="0" fillId="23" fontId="23" numFmtId="3" xfId="0" applyAlignment="1" applyFill="1" applyFont="1" applyNumberFormat="1">
      <alignment readingOrder="0" vertical="center"/>
    </xf>
    <xf borderId="0" fillId="23" fontId="23" numFmtId="3" xfId="0" applyAlignment="1" applyFont="1" applyNumberFormat="1">
      <alignment horizontal="center" readingOrder="0" vertical="center"/>
    </xf>
    <xf borderId="0" fillId="23" fontId="23" numFmtId="0" xfId="0" applyAlignment="1" applyFont="1">
      <alignment horizontal="center" readingOrder="0" vertical="center"/>
    </xf>
    <xf borderId="0" fillId="23" fontId="23" numFmtId="0" xfId="0" applyAlignment="1" applyFont="1">
      <alignment readingOrder="0" vertical="center"/>
    </xf>
    <xf borderId="0" fillId="24" fontId="23" numFmtId="0" xfId="0" applyAlignment="1" applyFill="1" applyFont="1">
      <alignment readingOrder="0" vertical="center"/>
    </xf>
    <xf borderId="0" fillId="24" fontId="23" numFmtId="0" xfId="0" applyAlignment="1" applyFont="1">
      <alignment horizontal="center" readingOrder="0" vertical="center"/>
    </xf>
    <xf borderId="0" fillId="24" fontId="23" numFmtId="3" xfId="0" applyAlignment="1" applyFont="1" applyNumberFormat="1">
      <alignment horizontal="center" readingOrder="0" vertical="center"/>
    </xf>
    <xf borderId="0" fillId="4" fontId="34" numFmtId="0" xfId="0" applyAlignment="1" applyFont="1">
      <alignment vertical="center"/>
    </xf>
    <xf borderId="0" fillId="6" fontId="34" numFmtId="0" xfId="0" applyAlignment="1" applyFont="1">
      <alignment horizontal="center" vertical="center"/>
    </xf>
    <xf borderId="0" fillId="6" fontId="34" numFmtId="0" xfId="0" applyAlignment="1" applyFont="1">
      <alignment vertical="center"/>
    </xf>
    <xf borderId="16" fillId="25" fontId="61" numFmtId="0" xfId="0" applyAlignment="1" applyBorder="1" applyFill="1" applyFont="1">
      <alignment horizontal="center" vertical="bottom"/>
    </xf>
    <xf borderId="17" fillId="25" fontId="61" numFmtId="0" xfId="0" applyAlignment="1" applyBorder="1" applyFont="1">
      <alignment horizontal="center" vertical="bottom"/>
    </xf>
    <xf borderId="0" fillId="0" fontId="61" numFmtId="0" xfId="0" applyAlignment="1" applyFont="1">
      <alignment horizontal="center" vertical="bottom"/>
    </xf>
    <xf borderId="16" fillId="0" fontId="61" numFmtId="0" xfId="0" applyAlignment="1" applyBorder="1" applyFont="1">
      <alignment horizontal="center" readingOrder="0" vertical="bottom"/>
    </xf>
    <xf borderId="0" fillId="0" fontId="61" numFmtId="0" xfId="0" applyAlignment="1" applyFont="1">
      <alignment horizontal="center" readingOrder="0" vertical="bottom"/>
    </xf>
    <xf borderId="16" fillId="0" fontId="61" numFmtId="0" xfId="0" applyAlignment="1" applyBorder="1" applyFont="1">
      <alignment horizontal="center" vertical="bottom"/>
    </xf>
    <xf borderId="16" fillId="26" fontId="61" numFmtId="0" xfId="0" applyAlignment="1" applyBorder="1" applyFill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647950" cy="1905000"/>
    <xdr:pic>
      <xdr:nvPicPr>
        <xdr:cNvPr id="0" name="image2.png" title="Screenshot of Calendar for January using the Streamline them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647950" cy="1905000"/>
    <xdr:pic>
      <xdr:nvPicPr>
        <xdr:cNvPr id="0" name="image1.png" title="Screenshot of Calendar for February using the Streamline them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657475" cy="1895475"/>
    <xdr:pic>
      <xdr:nvPicPr>
        <xdr:cNvPr id="0" name="image4.png" title="Screenshot of Calendar for March using the Streamline them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657475" cy="1895475"/>
    <xdr:pic>
      <xdr:nvPicPr>
        <xdr:cNvPr id="0" name="image9.png" title="Screenshot of Calendar for January using the Retro them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647950" cy="1905000"/>
    <xdr:pic>
      <xdr:nvPicPr>
        <xdr:cNvPr id="0" name="image8.png" title="Screenshot of Calendar for February using the Retro them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647950" cy="1905000"/>
    <xdr:pic>
      <xdr:nvPicPr>
        <xdr:cNvPr id="0" name="image3.png" title="Screenshot of Calendar for March using the Retro them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647950" cy="1905000"/>
    <xdr:pic>
      <xdr:nvPicPr>
        <xdr:cNvPr id="0" name="image5.png" title="Screenshot of Calendar for January using the Coral them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647950" cy="1905000"/>
    <xdr:pic>
      <xdr:nvPicPr>
        <xdr:cNvPr id="0" name="image6.png" title="Screenshot of Calendar for February using the Coral them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657475" cy="1895475"/>
    <xdr:pic>
      <xdr:nvPicPr>
        <xdr:cNvPr id="0" name="image7.png" title="Screenshot of Calendar for March using the Coral them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4" width="4.5"/>
    <col customWidth="1" min="25" max="25" width="2.63"/>
    <col customWidth="1" min="26" max="26" width="37.63"/>
    <col customWidth="1" min="27" max="27" width="5.63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>
        <f>YEAR(TODAY())</f>
        <v>2026</v>
      </c>
      <c r="AA1" s="5" t="s">
        <v>0</v>
      </c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9"/>
      <c r="J2" s="7" t="s">
        <v>2</v>
      </c>
      <c r="K2" s="8"/>
      <c r="L2" s="8"/>
      <c r="M2" s="8"/>
      <c r="N2" s="8"/>
      <c r="O2" s="8"/>
      <c r="P2" s="8"/>
      <c r="Q2" s="9"/>
      <c r="R2" s="7" t="s">
        <v>3</v>
      </c>
      <c r="S2" s="8"/>
      <c r="T2" s="8"/>
      <c r="U2" s="8"/>
      <c r="V2" s="8"/>
      <c r="W2" s="8"/>
      <c r="X2" s="8"/>
      <c r="Y2" s="10"/>
    </row>
    <row r="3" ht="16.5" customHeight="1">
      <c r="A3" s="11"/>
      <c r="B3" s="12" t="s">
        <v>4</v>
      </c>
      <c r="C3" s="12" t="s">
        <v>5</v>
      </c>
      <c r="D3" s="12" t="s">
        <v>6</v>
      </c>
      <c r="E3" s="12" t="s">
        <v>7</v>
      </c>
      <c r="F3" s="12" t="s">
        <v>6</v>
      </c>
      <c r="G3" s="12" t="s">
        <v>8</v>
      </c>
      <c r="H3" s="12" t="s">
        <v>4</v>
      </c>
      <c r="I3" s="13"/>
      <c r="J3" s="12" t="s">
        <v>4</v>
      </c>
      <c r="K3" s="12" t="s">
        <v>5</v>
      </c>
      <c r="L3" s="12" t="s">
        <v>6</v>
      </c>
      <c r="M3" s="12" t="s">
        <v>7</v>
      </c>
      <c r="N3" s="12" t="s">
        <v>6</v>
      </c>
      <c r="O3" s="12" t="s">
        <v>8</v>
      </c>
      <c r="P3" s="12" t="s">
        <v>4</v>
      </c>
      <c r="Q3" s="13"/>
      <c r="R3" s="12" t="s">
        <v>4</v>
      </c>
      <c r="S3" s="12" t="s">
        <v>5</v>
      </c>
      <c r="T3" s="12" t="s">
        <v>6</v>
      </c>
      <c r="U3" s="12" t="s">
        <v>7</v>
      </c>
      <c r="V3" s="12" t="s">
        <v>6</v>
      </c>
      <c r="W3" s="12" t="s">
        <v>8</v>
      </c>
      <c r="X3" s="12" t="s">
        <v>4</v>
      </c>
      <c r="Y3" s="14"/>
    </row>
    <row r="4" ht="16.5" customHeight="1">
      <c r="A4" s="11"/>
      <c r="B4" s="15" t="str">
        <f>IF(WEEKDAY(DATEVALUE($Z$1&amp;$B$2&amp;1))=1,1,"")</f>
        <v/>
      </c>
      <c r="C4" s="15" t="str">
        <f>IF(B4&lt;&gt;"",B4+1,IF(WEEKDAY(DATEVALUE($Z$1&amp;$B$2&amp;1))=2,1,""))</f>
        <v/>
      </c>
      <c r="D4" s="15" t="str">
        <f>IF(C4&lt;&gt;"",C4+1,IF(WEEKDAY(DATEVALUE($Z$1&amp;$B$2&amp;1))=3,1,""))</f>
        <v/>
      </c>
      <c r="E4" s="15" t="str">
        <f>IF(D4&lt;&gt;"",D4+1,IF(WEEKDAY(DATEVALUE($Z$1&amp;$B$2&amp;1))=4,1,""))</f>
        <v/>
      </c>
      <c r="F4" s="15">
        <f>IF(E4&lt;&gt;"",E4+1,IF(WEEKDAY(DATEVALUE($Z$1&amp;$B$2&amp;1))=5,1,""))</f>
        <v>1</v>
      </c>
      <c r="G4" s="15">
        <f>IF(F4&lt;&gt;"",F4+1,IF(WEEKDAY(DATEVALUE($Z$1&amp;$B$2&amp;1))=6,1,""))</f>
        <v>2</v>
      </c>
      <c r="H4" s="15">
        <f>IF(G4&lt;&gt;"",G4+1,IF(WEEKDAY(DATEVALUE($Z$1&amp;$B$2&amp;1))=7,1,""))</f>
        <v>3</v>
      </c>
      <c r="I4" s="16"/>
      <c r="J4" s="15">
        <f>IF(WEEKDAY(DATEVALUE($Z$1&amp;$J$2&amp;1))=1,1,"")</f>
        <v>1</v>
      </c>
      <c r="K4" s="15">
        <f>IF(J4&lt;&gt;"",J4+1,IF(WEEKDAY(DATEVALUE($Z$1&amp;$J$2&amp;1))=2,1,""))</f>
        <v>2</v>
      </c>
      <c r="L4" s="15">
        <f>IF(K4&lt;&gt;"",K4+1,IF(WEEKDAY(DATEVALUE($Z$1&amp;$J$2&amp;1))=3,1,""))</f>
        <v>3</v>
      </c>
      <c r="M4" s="15">
        <f>IF(L4&lt;&gt;"",L4+1,IF(WEEKDAY(DATEVALUE($Z$1&amp;$J$2&amp;1))=4,1,""))</f>
        <v>4</v>
      </c>
      <c r="N4" s="15">
        <f>IF(M4&lt;&gt;"",M4+1,IF(WEEKDAY(DATEVALUE($Z$1&amp;$J$2&amp;1))=5,1,""))</f>
        <v>5</v>
      </c>
      <c r="O4" s="15">
        <f>IF(N4&lt;&gt;"",N4+1,IF(WEEKDAY(DATEVALUE($Z$1&amp;$J$2&amp;1))=6,1,""))</f>
        <v>6</v>
      </c>
      <c r="P4" s="15">
        <f>IF(O4&lt;&gt;"",O4+1,IF(WEEKDAY(DATEVALUE($Z$1&amp;$J$2&amp;1))=7,1,""))</f>
        <v>7</v>
      </c>
      <c r="Q4" s="16"/>
      <c r="R4" s="15">
        <f>IF(WEEKDAY(DATEVALUE($Z$1&amp;$R$2&amp;1))=1,1,"")</f>
        <v>1</v>
      </c>
      <c r="S4" s="15">
        <f>IF(R4&lt;&gt;"",R4+1,IF(WEEKDAY(DATEVALUE($Z$1&amp;$R$2&amp;1))=2,1,""))</f>
        <v>2</v>
      </c>
      <c r="T4" s="15">
        <f>IF(S4&lt;&gt;"",S4+1,IF(WEEKDAY(DATEVALUE($Z$1&amp;$R$2&amp;1))=3,1,""))</f>
        <v>3</v>
      </c>
      <c r="U4" s="15">
        <f>IF(T4&lt;&gt;"",T4+1,IF(WEEKDAY(DATEVALUE($Z$1&amp;$R$2&amp;1))=4,1,""))</f>
        <v>4</v>
      </c>
      <c r="V4" s="15">
        <f>IF(U4&lt;&gt;"",U4+1,IF(WEEKDAY(DATEVALUE($Z$1&amp;$R$2&amp;1))=5,1,""))</f>
        <v>5</v>
      </c>
      <c r="W4" s="15">
        <f>IF(V4&lt;&gt;"",V4+1,IF(WEEKDAY(DATEVALUE($Z$1&amp;$R$2&amp;1))=6,1,""))</f>
        <v>6</v>
      </c>
      <c r="X4" s="15">
        <f>IF(W4&lt;&gt;"",W4+1,IF(WEEKDAY(DATEVALUE($Z$1&amp;$R$2&amp;1))=7,1,""))</f>
        <v>7</v>
      </c>
      <c r="Y4" s="14"/>
    </row>
    <row r="5" ht="16.5" customHeight="1">
      <c r="A5" s="17"/>
      <c r="B5" s="18">
        <f t="shared" ref="B5:B9" si="4">IF(OR(H4="",VALUE(H4)&gt;EOMONTH(DATEVALUE($Z$1&amp;$B$2&amp;1),0)-EOMONTH(DATEVALUE($Z$1&amp;$B$2&amp;1),-1)-1),"",H4+1)</f>
        <v>4</v>
      </c>
      <c r="C5" s="18">
        <f t="shared" ref="C5:H5" si="1">IF(OR(B5="",VALUE(B5)&gt;EOMONTH(DATEVALUE($Z$1&amp;$B$2&amp;1),0)-EOMONTH(DATEVALUE($Z$1&amp;$B$2&amp;1),-1)-1),"",B5+1)</f>
        <v>5</v>
      </c>
      <c r="D5" s="18">
        <f t="shared" si="1"/>
        <v>6</v>
      </c>
      <c r="E5" s="18">
        <f t="shared" si="1"/>
        <v>7</v>
      </c>
      <c r="F5" s="18">
        <f t="shared" si="1"/>
        <v>8</v>
      </c>
      <c r="G5" s="18">
        <f t="shared" si="1"/>
        <v>9</v>
      </c>
      <c r="H5" s="18">
        <f t="shared" si="1"/>
        <v>10</v>
      </c>
      <c r="I5" s="19"/>
      <c r="J5" s="18">
        <f t="shared" ref="J5:J9" si="6">IF(OR(P4="",VALUE(P4)&gt;EOMONTH(DATEVALUE($Z$1&amp;$J$2&amp;1),0)-EOMONTH(DATEVALUE($Z$1&amp;$J$2&amp;1),-1)-1),"",P4+1)</f>
        <v>8</v>
      </c>
      <c r="K5" s="18">
        <f t="shared" ref="K5:P5" si="2">IF(OR(J5="",VALUE(J5)&gt;EOMONTH(DATEVALUE($Z$1&amp;$J$2&amp;1),0)-EOMONTH(DATEVALUE($Z$1&amp;$J$2&amp;1),-1)-1),"",J5+1)</f>
        <v>9</v>
      </c>
      <c r="L5" s="18">
        <f t="shared" si="2"/>
        <v>10</v>
      </c>
      <c r="M5" s="18">
        <f t="shared" si="2"/>
        <v>11</v>
      </c>
      <c r="N5" s="18">
        <f t="shared" si="2"/>
        <v>12</v>
      </c>
      <c r="O5" s="18">
        <f t="shared" si="2"/>
        <v>13</v>
      </c>
      <c r="P5" s="18">
        <f t="shared" si="2"/>
        <v>14</v>
      </c>
      <c r="Q5" s="19"/>
      <c r="R5" s="18">
        <f t="shared" ref="R5:R9" si="8">IF(OR(X4="",VALUE(X4)&gt;EOMONTH(DATEVALUE($Z$1&amp;$R$2&amp;1),0)-EOMONTH(DATEVALUE($Z$1&amp;$R$2&amp;1),-1)-1),"",X4+1)</f>
        <v>8</v>
      </c>
      <c r="S5" s="18">
        <f t="shared" ref="S5:X5" si="3">IF(OR(R5="",VALUE(R5)&gt;EOMONTH(DATEVALUE($Z$1&amp;$R$2&amp;1),0)-EOMONTH(DATEVALUE($Z$1&amp;$R$2&amp;1),-1)-1),"",R5+1)</f>
        <v>9</v>
      </c>
      <c r="T5" s="18">
        <f t="shared" si="3"/>
        <v>10</v>
      </c>
      <c r="U5" s="18">
        <f t="shared" si="3"/>
        <v>11</v>
      </c>
      <c r="V5" s="18">
        <f t="shared" si="3"/>
        <v>12</v>
      </c>
      <c r="W5" s="18">
        <f t="shared" si="3"/>
        <v>13</v>
      </c>
      <c r="X5" s="18">
        <f t="shared" si="3"/>
        <v>14</v>
      </c>
      <c r="Y5" s="14"/>
    </row>
    <row r="6" ht="16.5" customHeight="1">
      <c r="A6" s="17"/>
      <c r="B6" s="18">
        <f t="shared" si="4"/>
        <v>11</v>
      </c>
      <c r="C6" s="18">
        <f t="shared" ref="C6:H6" si="5">IF(OR(B6="",VALUE(B6)&gt;EOMONTH(DATEVALUE($Z$1&amp;$B$2&amp;1),0)-EOMONTH(DATEVALUE($Z$1&amp;$B$2&amp;1),-1)-1),"",B6+1)</f>
        <v>12</v>
      </c>
      <c r="D6" s="18">
        <f t="shared" si="5"/>
        <v>13</v>
      </c>
      <c r="E6" s="18">
        <f t="shared" si="5"/>
        <v>14</v>
      </c>
      <c r="F6" s="18">
        <f t="shared" si="5"/>
        <v>15</v>
      </c>
      <c r="G6" s="18">
        <f t="shared" si="5"/>
        <v>16</v>
      </c>
      <c r="H6" s="18">
        <f t="shared" si="5"/>
        <v>17</v>
      </c>
      <c r="I6" s="16"/>
      <c r="J6" s="18">
        <f t="shared" si="6"/>
        <v>15</v>
      </c>
      <c r="K6" s="18">
        <f t="shared" ref="K6:P6" si="7">IF(OR(J6="",VALUE(J6)&gt;EOMONTH(DATEVALUE($Z$1&amp;$J$2&amp;1),0)-EOMONTH(DATEVALUE($Z$1&amp;$J$2&amp;1),-1)-1),"",J6+1)</f>
        <v>16</v>
      </c>
      <c r="L6" s="18">
        <f t="shared" si="7"/>
        <v>17</v>
      </c>
      <c r="M6" s="18">
        <f t="shared" si="7"/>
        <v>18</v>
      </c>
      <c r="N6" s="18">
        <f t="shared" si="7"/>
        <v>19</v>
      </c>
      <c r="O6" s="18">
        <f t="shared" si="7"/>
        <v>20</v>
      </c>
      <c r="P6" s="18">
        <f t="shared" si="7"/>
        <v>21</v>
      </c>
      <c r="Q6" s="16"/>
      <c r="R6" s="18">
        <f t="shared" si="8"/>
        <v>15</v>
      </c>
      <c r="S6" s="18">
        <f t="shared" ref="S6:X6" si="9">IF(OR(R6="",VALUE(R6)&gt;EOMONTH(DATEVALUE($Z$1&amp;$R$2&amp;1),0)-EOMONTH(DATEVALUE($Z$1&amp;$R$2&amp;1),-1)-1),"",R6+1)</f>
        <v>16</v>
      </c>
      <c r="T6" s="18">
        <f t="shared" si="9"/>
        <v>17</v>
      </c>
      <c r="U6" s="18">
        <f t="shared" si="9"/>
        <v>18</v>
      </c>
      <c r="V6" s="18">
        <f t="shared" si="9"/>
        <v>19</v>
      </c>
      <c r="W6" s="18">
        <f t="shared" si="9"/>
        <v>20</v>
      </c>
      <c r="X6" s="18">
        <f t="shared" si="9"/>
        <v>21</v>
      </c>
      <c r="Y6" s="14"/>
    </row>
    <row r="7" ht="16.5" customHeight="1">
      <c r="A7" s="17"/>
      <c r="B7" s="18">
        <f t="shared" si="4"/>
        <v>18</v>
      </c>
      <c r="C7" s="18">
        <f t="shared" ref="C7:H7" si="10">IF(OR(B7="",VALUE(B7)&gt;EOMONTH(DATEVALUE($Z$1&amp;$B$2&amp;1),0)-EOMONTH(DATEVALUE($Z$1&amp;$B$2&amp;1),-1)-1),"",B7+1)</f>
        <v>19</v>
      </c>
      <c r="D7" s="18">
        <f t="shared" si="10"/>
        <v>20</v>
      </c>
      <c r="E7" s="18">
        <f t="shared" si="10"/>
        <v>21</v>
      </c>
      <c r="F7" s="18">
        <f t="shared" si="10"/>
        <v>22</v>
      </c>
      <c r="G7" s="18">
        <f t="shared" si="10"/>
        <v>23</v>
      </c>
      <c r="H7" s="18">
        <f t="shared" si="10"/>
        <v>24</v>
      </c>
      <c r="I7" s="16"/>
      <c r="J7" s="18">
        <f t="shared" si="6"/>
        <v>22</v>
      </c>
      <c r="K7" s="18">
        <f t="shared" ref="K7:P7" si="11">IF(OR(J7="",VALUE(J7)&gt;EOMONTH(DATEVALUE($Z$1&amp;$J$2&amp;1),0)-EOMONTH(DATEVALUE($Z$1&amp;$J$2&amp;1),-1)-1),"",J7+1)</f>
        <v>23</v>
      </c>
      <c r="L7" s="18">
        <f t="shared" si="11"/>
        <v>24</v>
      </c>
      <c r="M7" s="18">
        <f t="shared" si="11"/>
        <v>25</v>
      </c>
      <c r="N7" s="18">
        <f t="shared" si="11"/>
        <v>26</v>
      </c>
      <c r="O7" s="18">
        <f t="shared" si="11"/>
        <v>27</v>
      </c>
      <c r="P7" s="18">
        <f t="shared" si="11"/>
        <v>28</v>
      </c>
      <c r="Q7" s="16"/>
      <c r="R7" s="18">
        <f t="shared" si="8"/>
        <v>22</v>
      </c>
      <c r="S7" s="18">
        <f t="shared" ref="S7:X7" si="12">IF(OR(R7="",VALUE(R7)&gt;EOMONTH(DATEVALUE($Z$1&amp;$R$2&amp;1),0)-EOMONTH(DATEVALUE($Z$1&amp;$R$2&amp;1),-1)-1),"",R7+1)</f>
        <v>23</v>
      </c>
      <c r="T7" s="18">
        <f t="shared" si="12"/>
        <v>24</v>
      </c>
      <c r="U7" s="18">
        <f t="shared" si="12"/>
        <v>25</v>
      </c>
      <c r="V7" s="18">
        <f t="shared" si="12"/>
        <v>26</v>
      </c>
      <c r="W7" s="18">
        <f t="shared" si="12"/>
        <v>27</v>
      </c>
      <c r="X7" s="18">
        <f t="shared" si="12"/>
        <v>28</v>
      </c>
      <c r="Y7" s="14"/>
    </row>
    <row r="8" ht="16.5" customHeight="1">
      <c r="A8" s="17"/>
      <c r="B8" s="18">
        <f t="shared" si="4"/>
        <v>25</v>
      </c>
      <c r="C8" s="18">
        <f t="shared" ref="C8:H8" si="13">IF(OR(B8="",VALUE(B8)&gt;EOMONTH(DATEVALUE($Z$1&amp;$B$2&amp;1),0)-EOMONTH(DATEVALUE($Z$1&amp;$B$2&amp;1),-1)-1),"",B8+1)</f>
        <v>26</v>
      </c>
      <c r="D8" s="18">
        <f t="shared" si="13"/>
        <v>27</v>
      </c>
      <c r="E8" s="18">
        <f t="shared" si="13"/>
        <v>28</v>
      </c>
      <c r="F8" s="18">
        <f t="shared" si="13"/>
        <v>29</v>
      </c>
      <c r="G8" s="18">
        <f t="shared" si="13"/>
        <v>30</v>
      </c>
      <c r="H8" s="18">
        <f t="shared" si="13"/>
        <v>31</v>
      </c>
      <c r="I8" s="16"/>
      <c r="J8" s="18" t="str">
        <f t="shared" si="6"/>
        <v/>
      </c>
      <c r="K8" s="18" t="str">
        <f t="shared" ref="K8:P8" si="14">IF(OR(J8="",VALUE(J8)&gt;EOMONTH(DATEVALUE($Z$1&amp;$J$2&amp;1),0)-EOMONTH(DATEVALUE($Z$1&amp;$J$2&amp;1),-1)-1),"",J8+1)</f>
        <v/>
      </c>
      <c r="L8" s="18" t="str">
        <f t="shared" si="14"/>
        <v/>
      </c>
      <c r="M8" s="18" t="str">
        <f t="shared" si="14"/>
        <v/>
      </c>
      <c r="N8" s="18" t="str">
        <f t="shared" si="14"/>
        <v/>
      </c>
      <c r="O8" s="18" t="str">
        <f t="shared" si="14"/>
        <v/>
      </c>
      <c r="P8" s="18" t="str">
        <f t="shared" si="14"/>
        <v/>
      </c>
      <c r="Q8" s="16"/>
      <c r="R8" s="18">
        <f t="shared" si="8"/>
        <v>29</v>
      </c>
      <c r="S8" s="18">
        <f t="shared" ref="S8:X8" si="15">IF(OR(R8="",VALUE(R8)&gt;EOMONTH(DATEVALUE($Z$1&amp;$R$2&amp;1),0)-EOMONTH(DATEVALUE($Z$1&amp;$R$2&amp;1),-1)-1),"",R8+1)</f>
        <v>30</v>
      </c>
      <c r="T8" s="18">
        <f t="shared" si="15"/>
        <v>31</v>
      </c>
      <c r="U8" s="18" t="str">
        <f t="shared" si="15"/>
        <v/>
      </c>
      <c r="V8" s="18" t="str">
        <f t="shared" si="15"/>
        <v/>
      </c>
      <c r="W8" s="18" t="str">
        <f t="shared" si="15"/>
        <v/>
      </c>
      <c r="X8" s="18" t="str">
        <f t="shared" si="15"/>
        <v/>
      </c>
      <c r="Y8" s="14"/>
    </row>
    <row r="9" ht="16.5" customHeight="1">
      <c r="A9" s="17"/>
      <c r="B9" s="18" t="str">
        <f t="shared" si="4"/>
        <v/>
      </c>
      <c r="C9" s="18" t="str">
        <f t="shared" ref="C9:H9" si="16">IF(OR(B9="",VALUE(B9)&gt;EOMONTH(DATEVALUE($Z$1&amp;$B$2&amp;1),0)-EOMONTH(DATEVALUE($Z$1&amp;$B$2&amp;1),-1)-1),"",B9+1)</f>
        <v/>
      </c>
      <c r="D9" s="18" t="str">
        <f t="shared" si="16"/>
        <v/>
      </c>
      <c r="E9" s="18" t="str">
        <f t="shared" si="16"/>
        <v/>
      </c>
      <c r="F9" s="18" t="str">
        <f t="shared" si="16"/>
        <v/>
      </c>
      <c r="G9" s="18" t="str">
        <f t="shared" si="16"/>
        <v/>
      </c>
      <c r="H9" s="18" t="str">
        <f t="shared" si="16"/>
        <v/>
      </c>
      <c r="I9" s="16"/>
      <c r="J9" s="18" t="str">
        <f t="shared" si="6"/>
        <v/>
      </c>
      <c r="K9" s="18" t="str">
        <f t="shared" ref="K9:P9" si="17">IF(OR(J9="",VALUE(J9)&gt;EOMONTH(DATEVALUE($Z$1&amp;$J$2&amp;1),0)-EOMONTH(DATEVALUE($Z$1&amp;$J$2&amp;1),-1)-1),"",J9+1)</f>
        <v/>
      </c>
      <c r="L9" s="18" t="str">
        <f t="shared" si="17"/>
        <v/>
      </c>
      <c r="M9" s="18" t="str">
        <f t="shared" si="17"/>
        <v/>
      </c>
      <c r="N9" s="18" t="str">
        <f t="shared" si="17"/>
        <v/>
      </c>
      <c r="O9" s="18" t="str">
        <f t="shared" si="17"/>
        <v/>
      </c>
      <c r="P9" s="18" t="str">
        <f t="shared" si="17"/>
        <v/>
      </c>
      <c r="Q9" s="16"/>
      <c r="R9" s="18" t="str">
        <f t="shared" si="8"/>
        <v/>
      </c>
      <c r="S9" s="18" t="str">
        <f t="shared" ref="S9:X9" si="18">IF(OR(R9="",VALUE(R9)&gt;EOMONTH(DATEVALUE($Z$1&amp;$R$2&amp;1),0)-EOMONTH(DATEVALUE($Z$1&amp;$R$2&amp;1),-1)-1),"",R9+1)</f>
        <v/>
      </c>
      <c r="T9" s="18" t="str">
        <f t="shared" si="18"/>
        <v/>
      </c>
      <c r="U9" s="18" t="str">
        <f t="shared" si="18"/>
        <v/>
      </c>
      <c r="V9" s="18" t="str">
        <f t="shared" si="18"/>
        <v/>
      </c>
      <c r="W9" s="18" t="str">
        <f t="shared" si="18"/>
        <v/>
      </c>
      <c r="X9" s="18" t="str">
        <f t="shared" si="18"/>
        <v/>
      </c>
      <c r="Y9" s="14"/>
    </row>
    <row r="10" ht="16.5" customHeight="1">
      <c r="A10" s="1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4"/>
    </row>
    <row r="11" ht="16.5" customHeight="1">
      <c r="A11" s="20"/>
      <c r="B11" s="7" t="s">
        <v>9</v>
      </c>
      <c r="C11" s="8"/>
      <c r="D11" s="8"/>
      <c r="E11" s="8"/>
      <c r="F11" s="8"/>
      <c r="G11" s="8"/>
      <c r="H11" s="8"/>
      <c r="I11" s="21"/>
      <c r="J11" s="7" t="s">
        <v>10</v>
      </c>
      <c r="K11" s="8"/>
      <c r="L11" s="8"/>
      <c r="M11" s="8"/>
      <c r="N11" s="8"/>
      <c r="O11" s="8"/>
      <c r="P11" s="8"/>
      <c r="Q11" s="21"/>
      <c r="R11" s="7" t="s">
        <v>11</v>
      </c>
      <c r="S11" s="8"/>
      <c r="T11" s="8"/>
      <c r="U11" s="8"/>
      <c r="V11" s="8"/>
      <c r="W11" s="8"/>
      <c r="X11" s="8"/>
      <c r="Y11" s="10"/>
    </row>
    <row r="12" ht="16.5" customHeight="1">
      <c r="A12" s="11"/>
      <c r="B12" s="12" t="s">
        <v>4</v>
      </c>
      <c r="C12" s="12" t="s">
        <v>5</v>
      </c>
      <c r="D12" s="12" t="s">
        <v>6</v>
      </c>
      <c r="E12" s="12" t="s">
        <v>7</v>
      </c>
      <c r="F12" s="12" t="s">
        <v>6</v>
      </c>
      <c r="G12" s="12" t="s">
        <v>8</v>
      </c>
      <c r="H12" s="12" t="s">
        <v>4</v>
      </c>
      <c r="I12" s="13"/>
      <c r="J12" s="12" t="s">
        <v>4</v>
      </c>
      <c r="K12" s="12" t="s">
        <v>5</v>
      </c>
      <c r="L12" s="12" t="s">
        <v>6</v>
      </c>
      <c r="M12" s="12" t="s">
        <v>7</v>
      </c>
      <c r="N12" s="12" t="s">
        <v>6</v>
      </c>
      <c r="O12" s="12" t="s">
        <v>8</v>
      </c>
      <c r="P12" s="12" t="s">
        <v>4</v>
      </c>
      <c r="Q12" s="13"/>
      <c r="R12" s="12" t="s">
        <v>4</v>
      </c>
      <c r="S12" s="12" t="s">
        <v>5</v>
      </c>
      <c r="T12" s="12" t="s">
        <v>6</v>
      </c>
      <c r="U12" s="12" t="s">
        <v>7</v>
      </c>
      <c r="V12" s="12" t="s">
        <v>6</v>
      </c>
      <c r="W12" s="12" t="s">
        <v>8</v>
      </c>
      <c r="X12" s="12" t="s">
        <v>4</v>
      </c>
      <c r="Y12" s="14"/>
    </row>
    <row r="13" ht="16.5" customHeight="1">
      <c r="A13" s="11"/>
      <c r="B13" s="15" t="str">
        <f>IF(WEEKDAY(DATEVALUE($Z$1&amp;$B$11&amp;1))=1,1,"")</f>
        <v/>
      </c>
      <c r="C13" s="15" t="str">
        <f>IF(B13&lt;&gt;"",B13+1,IF(WEEKDAY(DATEVALUE($Z$1&amp;$B$11&amp;1))=2,1,""))</f>
        <v/>
      </c>
      <c r="D13" s="15" t="str">
        <f>IF(C13&lt;&gt;"",C13+1,IF(WEEKDAY(DATEVALUE($Z$1&amp;$B$11&amp;1))=3,1,""))</f>
        <v/>
      </c>
      <c r="E13" s="15">
        <f>IF(D13&lt;&gt;"",D13+1,IF(WEEKDAY(DATEVALUE($Z$1&amp;$B$11&amp;1))=4,1,""))</f>
        <v>1</v>
      </c>
      <c r="F13" s="15">
        <f>IF(E13&lt;&gt;"",E13+1,IF(WEEKDAY(DATEVALUE($Z$1&amp;$B$11&amp;1))=5,1,""))</f>
        <v>2</v>
      </c>
      <c r="G13" s="15">
        <f>IF(F13&lt;&gt;"",F13+1,IF(WEEKDAY(DATEVALUE($Z$1&amp;$B$11&amp;1))=6,1,""))</f>
        <v>3</v>
      </c>
      <c r="H13" s="15">
        <f>IF(G13&lt;&gt;"",G13+1,IF(WEEKDAY(DATEVALUE($Z$1&amp;$B$11&amp;1))=7,1,""))</f>
        <v>4</v>
      </c>
      <c r="I13" s="15"/>
      <c r="J13" s="15" t="str">
        <f>IF(WEEKDAY(DATEVALUE($Z$1&amp;$J$11&amp;1))=1,1,"")</f>
        <v/>
      </c>
      <c r="K13" s="15" t="str">
        <f>IF(J13&lt;&gt;"",J13+1,IF(WEEKDAY(DATEVALUE($Z$1&amp;$J$11&amp;1))=2,1,""))</f>
        <v/>
      </c>
      <c r="L13" s="15" t="str">
        <f>IF(K13&lt;&gt;"",K13+1,IF(WEEKDAY(DATEVALUE($Z$1&amp;$J$11&amp;1))=3,1,""))</f>
        <v/>
      </c>
      <c r="M13" s="15" t="str">
        <f>IF(L13&lt;&gt;"",L13+1,IF(WEEKDAY(DATEVALUE($Z$1&amp;$J$11&amp;1))=4,1,""))</f>
        <v/>
      </c>
      <c r="N13" s="15" t="str">
        <f>IF(M13&lt;&gt;"",M13+1,IF(WEEKDAY(DATEVALUE($Z$1&amp;$J$11&amp;1))=5,1,""))</f>
        <v/>
      </c>
      <c r="O13" s="15">
        <f>IF(N13&lt;&gt;"",N13+1,IF(WEEKDAY(DATEVALUE($Z$1&amp;$J$11&amp;1))=6,1,""))</f>
        <v>1</v>
      </c>
      <c r="P13" s="15">
        <f>IF(O13&lt;&gt;"",O13+1,IF(WEEKDAY(DATEVALUE($Z$1&amp;$J$11&amp;1))=7,1,""))</f>
        <v>2</v>
      </c>
      <c r="Q13" s="15"/>
      <c r="R13" s="15" t="str">
        <f>IF(WEEKDAY(DATEVALUE($Z$1&amp;$R$11&amp;1))=1,1,"")</f>
        <v/>
      </c>
      <c r="S13" s="15">
        <f>IF(R13&lt;&gt;"",R13+1,IF(WEEKDAY(DATEVALUE($Z$1&amp;$R$11&amp;1))=2,1,""))</f>
        <v>1</v>
      </c>
      <c r="T13" s="15">
        <f>IF(S13&lt;&gt;"",S13+1,IF(WEEKDAY(DATEVALUE($Z$1&amp;$R$11&amp;1))=3,1,""))</f>
        <v>2</v>
      </c>
      <c r="U13" s="15">
        <f>IF(T13&lt;&gt;"",T13+1,IF(WEEKDAY(DATEVALUE($Z$1&amp;$R$11&amp;1))=4,1,""))</f>
        <v>3</v>
      </c>
      <c r="V13" s="15">
        <f>IF(U13&lt;&gt;"",U13+1,IF(WEEKDAY(DATEVALUE($Z$1&amp;$R$11&amp;1))=5,1,""))</f>
        <v>4</v>
      </c>
      <c r="W13" s="15">
        <f>IF(V13&lt;&gt;"",V13+1,IF(WEEKDAY(DATEVALUE($Z$1&amp;$R$11&amp;1))=6,1,""))</f>
        <v>5</v>
      </c>
      <c r="X13" s="15">
        <f>IF(W13&lt;&gt;"",W13+1,IF(WEEKDAY(DATEVALUE($Z$1&amp;$R$11&amp;1))=7,1,""))</f>
        <v>6</v>
      </c>
      <c r="Y13" s="14"/>
    </row>
    <row r="14" ht="16.5" customHeight="1">
      <c r="A14" s="17"/>
      <c r="B14" s="18">
        <f t="shared" ref="B14:B18" si="22">IF(OR(H13="",VALUE(H13)&gt;EOMONTH(DATEVALUE($Z$1&amp;$B$11&amp;1),0)-EOMONTH(DATEVALUE($Z$1&amp;$B$11&amp;1),-1)-1),"",H13+1)</f>
        <v>5</v>
      </c>
      <c r="C14" s="18">
        <f t="shared" ref="C14:H14" si="19">IF(OR(B14="",VALUE(B14)&gt;EOMONTH(DATEVALUE($Z$1&amp;$B$11&amp;1),0)-EOMONTH(DATEVALUE($Z$1&amp;$B$11&amp;1),-1)-1),"",B14+1)</f>
        <v>6</v>
      </c>
      <c r="D14" s="18">
        <f t="shared" si="19"/>
        <v>7</v>
      </c>
      <c r="E14" s="18">
        <f t="shared" si="19"/>
        <v>8</v>
      </c>
      <c r="F14" s="18">
        <f t="shared" si="19"/>
        <v>9</v>
      </c>
      <c r="G14" s="18">
        <f t="shared" si="19"/>
        <v>10</v>
      </c>
      <c r="H14" s="18">
        <f t="shared" si="19"/>
        <v>11</v>
      </c>
      <c r="I14" s="15"/>
      <c r="J14" s="18">
        <f t="shared" ref="J14:J18" si="24">IF(OR(P13="",VALUE(P13)&gt;EOMONTH(DATEVALUE($Z$1&amp;$J$11&amp;1),0)-EOMONTH(DATEVALUE($Z$1&amp;$J$11&amp;1),-1)-1),"",P13+1)</f>
        <v>3</v>
      </c>
      <c r="K14" s="18">
        <f t="shared" ref="K14:P14" si="20">IF(OR(J14="",VALUE(J14)&gt;EOMONTH(DATEVALUE($Z$1&amp;$J$11&amp;1),0)-EOMONTH(DATEVALUE($Z$1&amp;$J$11&amp;1),-1)-1),"",J14+1)</f>
        <v>4</v>
      </c>
      <c r="L14" s="18">
        <f t="shared" si="20"/>
        <v>5</v>
      </c>
      <c r="M14" s="18">
        <f t="shared" si="20"/>
        <v>6</v>
      </c>
      <c r="N14" s="18">
        <f t="shared" si="20"/>
        <v>7</v>
      </c>
      <c r="O14" s="18">
        <f t="shared" si="20"/>
        <v>8</v>
      </c>
      <c r="P14" s="18">
        <f t="shared" si="20"/>
        <v>9</v>
      </c>
      <c r="Q14" s="15"/>
      <c r="R14" s="18">
        <f t="shared" ref="R14:R18" si="26">IF(OR(X13="",VALUE(X13)&gt;EOMONTH(DATEVALUE($Z$1&amp;$R$11&amp;1),0)-EOMONTH(DATEVALUE($Z$1&amp;$R$11&amp;1),-1)-1),"",X13+1)</f>
        <v>7</v>
      </c>
      <c r="S14" s="18">
        <f t="shared" ref="S14:X14" si="21">IF(OR(R14="",VALUE(R14)&gt;EOMONTH(DATEVALUE($Z$1&amp;$R$11&amp;1),0)-EOMONTH(DATEVALUE($Z$1&amp;$R$11&amp;1),-1)-1),"",R14+1)</f>
        <v>8</v>
      </c>
      <c r="T14" s="18">
        <f t="shared" si="21"/>
        <v>9</v>
      </c>
      <c r="U14" s="18">
        <f t="shared" si="21"/>
        <v>10</v>
      </c>
      <c r="V14" s="18">
        <f t="shared" si="21"/>
        <v>11</v>
      </c>
      <c r="W14" s="18">
        <f t="shared" si="21"/>
        <v>12</v>
      </c>
      <c r="X14" s="18">
        <f t="shared" si="21"/>
        <v>13</v>
      </c>
      <c r="Y14" s="14"/>
    </row>
    <row r="15" ht="16.5" customHeight="1">
      <c r="A15" s="17"/>
      <c r="B15" s="18">
        <f t="shared" si="22"/>
        <v>12</v>
      </c>
      <c r="C15" s="18">
        <f t="shared" ref="C15:H15" si="23">IF(OR(B15="",VALUE(B15)&gt;EOMONTH(DATEVALUE($Z$1&amp;$B$11&amp;1),0)-EOMONTH(DATEVALUE($Z$1&amp;$B$11&amp;1),-1)-1),"",B15+1)</f>
        <v>13</v>
      </c>
      <c r="D15" s="18">
        <f t="shared" si="23"/>
        <v>14</v>
      </c>
      <c r="E15" s="18">
        <f t="shared" si="23"/>
        <v>15</v>
      </c>
      <c r="F15" s="18">
        <f t="shared" si="23"/>
        <v>16</v>
      </c>
      <c r="G15" s="18">
        <f t="shared" si="23"/>
        <v>17</v>
      </c>
      <c r="H15" s="18">
        <f t="shared" si="23"/>
        <v>18</v>
      </c>
      <c r="I15" s="15"/>
      <c r="J15" s="18">
        <f t="shared" si="24"/>
        <v>10</v>
      </c>
      <c r="K15" s="18">
        <f t="shared" ref="K15:P15" si="25">IF(OR(J15="",VALUE(J15)&gt;EOMONTH(DATEVALUE($Z$1&amp;$J$11&amp;1),0)-EOMONTH(DATEVALUE($Z$1&amp;$J$11&amp;1),-1)-1),"",J15+1)</f>
        <v>11</v>
      </c>
      <c r="L15" s="18">
        <f t="shared" si="25"/>
        <v>12</v>
      </c>
      <c r="M15" s="18">
        <f t="shared" si="25"/>
        <v>13</v>
      </c>
      <c r="N15" s="18">
        <f t="shared" si="25"/>
        <v>14</v>
      </c>
      <c r="O15" s="18">
        <f t="shared" si="25"/>
        <v>15</v>
      </c>
      <c r="P15" s="18">
        <f t="shared" si="25"/>
        <v>16</v>
      </c>
      <c r="Q15" s="15"/>
      <c r="R15" s="18">
        <f t="shared" si="26"/>
        <v>14</v>
      </c>
      <c r="S15" s="18">
        <f t="shared" ref="S15:X15" si="27">IF(OR(R15="",VALUE(R15)&gt;EOMONTH(DATEVALUE($Z$1&amp;$R$11&amp;1),0)-EOMONTH(DATEVALUE($Z$1&amp;$R$11&amp;1),-1)-1),"",R15+1)</f>
        <v>15</v>
      </c>
      <c r="T15" s="18">
        <f t="shared" si="27"/>
        <v>16</v>
      </c>
      <c r="U15" s="18">
        <f t="shared" si="27"/>
        <v>17</v>
      </c>
      <c r="V15" s="18">
        <f t="shared" si="27"/>
        <v>18</v>
      </c>
      <c r="W15" s="18">
        <f t="shared" si="27"/>
        <v>19</v>
      </c>
      <c r="X15" s="18">
        <f t="shared" si="27"/>
        <v>20</v>
      </c>
      <c r="Y15" s="14"/>
    </row>
    <row r="16" ht="16.5" customHeight="1">
      <c r="A16" s="17"/>
      <c r="B16" s="18">
        <f t="shared" si="22"/>
        <v>19</v>
      </c>
      <c r="C16" s="18">
        <f t="shared" ref="C16:H16" si="28">IF(OR(B16="",VALUE(B16)&gt;EOMONTH(DATEVALUE($Z$1&amp;$B$11&amp;1),0)-EOMONTH(DATEVALUE($Z$1&amp;$B$11&amp;1),-1)-1),"",B16+1)</f>
        <v>20</v>
      </c>
      <c r="D16" s="18">
        <f t="shared" si="28"/>
        <v>21</v>
      </c>
      <c r="E16" s="18">
        <f t="shared" si="28"/>
        <v>22</v>
      </c>
      <c r="F16" s="18">
        <f t="shared" si="28"/>
        <v>23</v>
      </c>
      <c r="G16" s="18">
        <f t="shared" si="28"/>
        <v>24</v>
      </c>
      <c r="H16" s="18">
        <f t="shared" si="28"/>
        <v>25</v>
      </c>
      <c r="I16" s="15"/>
      <c r="J16" s="18">
        <f t="shared" si="24"/>
        <v>17</v>
      </c>
      <c r="K16" s="18">
        <f t="shared" ref="K16:P16" si="29">IF(OR(J16="",VALUE(J16)&gt;EOMONTH(DATEVALUE($Z$1&amp;$J$11&amp;1),0)-EOMONTH(DATEVALUE($Z$1&amp;$J$11&amp;1),-1)-1),"",J16+1)</f>
        <v>18</v>
      </c>
      <c r="L16" s="18">
        <f t="shared" si="29"/>
        <v>19</v>
      </c>
      <c r="M16" s="18">
        <f t="shared" si="29"/>
        <v>20</v>
      </c>
      <c r="N16" s="18">
        <f t="shared" si="29"/>
        <v>21</v>
      </c>
      <c r="O16" s="18">
        <f t="shared" si="29"/>
        <v>22</v>
      </c>
      <c r="P16" s="18">
        <f t="shared" si="29"/>
        <v>23</v>
      </c>
      <c r="Q16" s="15"/>
      <c r="R16" s="18">
        <f t="shared" si="26"/>
        <v>21</v>
      </c>
      <c r="S16" s="18">
        <f t="shared" ref="S16:X16" si="30">IF(OR(R16="",VALUE(R16)&gt;EOMONTH(DATEVALUE($Z$1&amp;$R$11&amp;1),0)-EOMONTH(DATEVALUE($Z$1&amp;$R$11&amp;1),-1)-1),"",R16+1)</f>
        <v>22</v>
      </c>
      <c r="T16" s="18">
        <f t="shared" si="30"/>
        <v>23</v>
      </c>
      <c r="U16" s="18">
        <f t="shared" si="30"/>
        <v>24</v>
      </c>
      <c r="V16" s="18">
        <f t="shared" si="30"/>
        <v>25</v>
      </c>
      <c r="W16" s="18">
        <f t="shared" si="30"/>
        <v>26</v>
      </c>
      <c r="X16" s="18">
        <f t="shared" si="30"/>
        <v>27</v>
      </c>
      <c r="Y16" s="14"/>
    </row>
    <row r="17" ht="16.5" customHeight="1">
      <c r="A17" s="17"/>
      <c r="B17" s="18">
        <f t="shared" si="22"/>
        <v>26</v>
      </c>
      <c r="C17" s="18">
        <f t="shared" ref="C17:H17" si="31">IF(OR(B17="",VALUE(B17)&gt;EOMONTH(DATEVALUE($Z$1&amp;$B$11&amp;1),0)-EOMONTH(DATEVALUE($Z$1&amp;$B$11&amp;1),-1)-1),"",B17+1)</f>
        <v>27</v>
      </c>
      <c r="D17" s="18">
        <f t="shared" si="31"/>
        <v>28</v>
      </c>
      <c r="E17" s="18">
        <f t="shared" si="31"/>
        <v>29</v>
      </c>
      <c r="F17" s="18">
        <f t="shared" si="31"/>
        <v>30</v>
      </c>
      <c r="G17" s="18" t="str">
        <f t="shared" si="31"/>
        <v/>
      </c>
      <c r="H17" s="18" t="str">
        <f t="shared" si="31"/>
        <v/>
      </c>
      <c r="I17" s="15"/>
      <c r="J17" s="18">
        <f t="shared" si="24"/>
        <v>24</v>
      </c>
      <c r="K17" s="18">
        <f t="shared" ref="K17:P17" si="32">IF(OR(J17="",VALUE(J17)&gt;EOMONTH(DATEVALUE($Z$1&amp;$J$11&amp;1),0)-EOMONTH(DATEVALUE($Z$1&amp;$J$11&amp;1),-1)-1),"",J17+1)</f>
        <v>25</v>
      </c>
      <c r="L17" s="18">
        <f t="shared" si="32"/>
        <v>26</v>
      </c>
      <c r="M17" s="18">
        <f t="shared" si="32"/>
        <v>27</v>
      </c>
      <c r="N17" s="18">
        <f t="shared" si="32"/>
        <v>28</v>
      </c>
      <c r="O17" s="18">
        <f t="shared" si="32"/>
        <v>29</v>
      </c>
      <c r="P17" s="18">
        <f t="shared" si="32"/>
        <v>30</v>
      </c>
      <c r="Q17" s="15"/>
      <c r="R17" s="18">
        <f t="shared" si="26"/>
        <v>28</v>
      </c>
      <c r="S17" s="18">
        <f t="shared" ref="S17:X17" si="33">IF(OR(R17="",VALUE(R17)&gt;EOMONTH(DATEVALUE($Z$1&amp;$R$11&amp;1),0)-EOMONTH(DATEVALUE($Z$1&amp;$R$11&amp;1),-1)-1),"",R17+1)</f>
        <v>29</v>
      </c>
      <c r="T17" s="18">
        <f t="shared" si="33"/>
        <v>30</v>
      </c>
      <c r="U17" s="18" t="str">
        <f t="shared" si="33"/>
        <v/>
      </c>
      <c r="V17" s="18" t="str">
        <f t="shared" si="33"/>
        <v/>
      </c>
      <c r="W17" s="18" t="str">
        <f t="shared" si="33"/>
        <v/>
      </c>
      <c r="X17" s="18" t="str">
        <f t="shared" si="33"/>
        <v/>
      </c>
      <c r="Y17" s="14"/>
    </row>
    <row r="18" ht="16.5" customHeight="1">
      <c r="A18" s="17"/>
      <c r="B18" s="18" t="str">
        <f t="shared" si="22"/>
        <v/>
      </c>
      <c r="C18" s="18" t="str">
        <f t="shared" ref="C18:H18" si="34">IF(OR(B18="",VALUE(B18)&gt;EOMONTH(DATEVALUE($Z$1&amp;$B$11&amp;1),0)-EOMONTH(DATEVALUE($Z$1&amp;$B$11&amp;1),-1)-1),"",B18+1)</f>
        <v/>
      </c>
      <c r="D18" s="18" t="str">
        <f t="shared" si="34"/>
        <v/>
      </c>
      <c r="E18" s="18" t="str">
        <f t="shared" si="34"/>
        <v/>
      </c>
      <c r="F18" s="18" t="str">
        <f t="shared" si="34"/>
        <v/>
      </c>
      <c r="G18" s="18" t="str">
        <f t="shared" si="34"/>
        <v/>
      </c>
      <c r="H18" s="18" t="str">
        <f t="shared" si="34"/>
        <v/>
      </c>
      <c r="I18" s="15"/>
      <c r="J18" s="18">
        <f t="shared" si="24"/>
        <v>31</v>
      </c>
      <c r="K18" s="18" t="str">
        <f t="shared" ref="K18:P18" si="35">IF(OR(J18="",VALUE(J18)&gt;EOMONTH(DATEVALUE($Z$1&amp;$J$11&amp;1),0)-EOMONTH(DATEVALUE($Z$1&amp;$J$11&amp;1),-1)-1),"",J18+1)</f>
        <v/>
      </c>
      <c r="L18" s="18" t="str">
        <f t="shared" si="35"/>
        <v/>
      </c>
      <c r="M18" s="18" t="str">
        <f t="shared" si="35"/>
        <v/>
      </c>
      <c r="N18" s="18" t="str">
        <f t="shared" si="35"/>
        <v/>
      </c>
      <c r="O18" s="18" t="str">
        <f t="shared" si="35"/>
        <v/>
      </c>
      <c r="P18" s="18" t="str">
        <f t="shared" si="35"/>
        <v/>
      </c>
      <c r="Q18" s="15"/>
      <c r="R18" s="18" t="str">
        <f t="shared" si="26"/>
        <v/>
      </c>
      <c r="S18" s="18" t="str">
        <f t="shared" ref="S18:X18" si="36">IF(OR(R18="",VALUE(R18)&gt;EOMONTH(DATEVALUE($Z$1&amp;$R$11&amp;1),0)-EOMONTH(DATEVALUE($Z$1&amp;$R$11&amp;1),-1)-1),"",R18+1)</f>
        <v/>
      </c>
      <c r="T18" s="18" t="str">
        <f t="shared" si="36"/>
        <v/>
      </c>
      <c r="U18" s="18" t="str">
        <f t="shared" si="36"/>
        <v/>
      </c>
      <c r="V18" s="18" t="str">
        <f t="shared" si="36"/>
        <v/>
      </c>
      <c r="W18" s="18" t="str">
        <f t="shared" si="36"/>
        <v/>
      </c>
      <c r="X18" s="18" t="str">
        <f t="shared" si="36"/>
        <v/>
      </c>
      <c r="Y18" s="14"/>
    </row>
    <row r="19" ht="16.5" customHeight="1">
      <c r="A19" s="17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14"/>
    </row>
    <row r="20" ht="16.5" customHeight="1">
      <c r="A20" s="20"/>
      <c r="B20" s="23" t="s">
        <v>12</v>
      </c>
      <c r="C20" s="8"/>
      <c r="D20" s="8"/>
      <c r="E20" s="8"/>
      <c r="F20" s="8"/>
      <c r="G20" s="8"/>
      <c r="H20" s="8"/>
      <c r="I20" s="24"/>
      <c r="J20" s="23" t="s">
        <v>13</v>
      </c>
      <c r="K20" s="8"/>
      <c r="L20" s="8"/>
      <c r="M20" s="8"/>
      <c r="N20" s="8"/>
      <c r="O20" s="8"/>
      <c r="P20" s="8"/>
      <c r="Q20" s="24"/>
      <c r="R20" s="23" t="s">
        <v>14</v>
      </c>
      <c r="S20" s="8"/>
      <c r="T20" s="8"/>
      <c r="U20" s="8"/>
      <c r="V20" s="8"/>
      <c r="W20" s="8"/>
      <c r="X20" s="8"/>
      <c r="Y20" s="10"/>
    </row>
    <row r="21" ht="16.5" customHeight="1">
      <c r="A21" s="11"/>
      <c r="B21" s="25" t="s">
        <v>4</v>
      </c>
      <c r="C21" s="25" t="s">
        <v>5</v>
      </c>
      <c r="D21" s="25" t="s">
        <v>6</v>
      </c>
      <c r="E21" s="25" t="s">
        <v>7</v>
      </c>
      <c r="F21" s="25" t="s">
        <v>6</v>
      </c>
      <c r="G21" s="25" t="s">
        <v>8</v>
      </c>
      <c r="H21" s="25" t="s">
        <v>4</v>
      </c>
      <c r="I21" s="26"/>
      <c r="J21" s="25" t="s">
        <v>4</v>
      </c>
      <c r="K21" s="25" t="s">
        <v>5</v>
      </c>
      <c r="L21" s="25" t="s">
        <v>6</v>
      </c>
      <c r="M21" s="25" t="s">
        <v>7</v>
      </c>
      <c r="N21" s="25" t="s">
        <v>6</v>
      </c>
      <c r="O21" s="25" t="s">
        <v>8</v>
      </c>
      <c r="P21" s="25" t="s">
        <v>4</v>
      </c>
      <c r="Q21" s="26"/>
      <c r="R21" s="25" t="s">
        <v>4</v>
      </c>
      <c r="S21" s="25" t="s">
        <v>5</v>
      </c>
      <c r="T21" s="25" t="s">
        <v>6</v>
      </c>
      <c r="U21" s="25" t="s">
        <v>7</v>
      </c>
      <c r="V21" s="25" t="s">
        <v>6</v>
      </c>
      <c r="W21" s="25" t="s">
        <v>8</v>
      </c>
      <c r="X21" s="25" t="s">
        <v>4</v>
      </c>
      <c r="Y21" s="14"/>
    </row>
    <row r="22" ht="16.5" customHeight="1">
      <c r="A22" s="11"/>
      <c r="B22" s="15" t="str">
        <f>IF(WEEKDAY(DATEVALUE($Z$1&amp;$B$20&amp;1))=1,1,"")</f>
        <v/>
      </c>
      <c r="C22" s="15" t="str">
        <f>IF(B22&lt;&gt;"",B22+1,IF(WEEKDAY(DATEVALUE($Z$1&amp;$B$20&amp;1))=2,1,""))</f>
        <v/>
      </c>
      <c r="D22" s="15" t="str">
        <f>IF(C22&lt;&gt;"",C22+1,IF(WEEKDAY(DATEVALUE($Z$1&amp;$B$20&amp;1))=3,1,""))</f>
        <v/>
      </c>
      <c r="E22" s="15">
        <f>IF(D22&lt;&gt;"",D22+1,IF(WEEKDAY(DATEVALUE($Z$1&amp;$B$20&amp;1))=4,1,""))</f>
        <v>1</v>
      </c>
      <c r="F22" s="15">
        <f>IF(E22&lt;&gt;"",E22+1,IF(WEEKDAY(DATEVALUE($Z$1&amp;$B$20&amp;1))=5,1,""))</f>
        <v>2</v>
      </c>
      <c r="G22" s="15">
        <f>IF(F22&lt;&gt;"",F22+1,IF(WEEKDAY(DATEVALUE($Z$1&amp;$B$20&amp;1))=6,1,""))</f>
        <v>3</v>
      </c>
      <c r="H22" s="15">
        <f>IF(G22&lt;&gt;"",G22+1,IF(WEEKDAY(DATEVALUE($Z$1&amp;$B$20&amp;1))=7,1,""))</f>
        <v>4</v>
      </c>
      <c r="I22" s="15"/>
      <c r="J22" s="15" t="str">
        <f>IF(WEEKDAY(DATEVALUE($Z$1&amp;$J$20&amp;1))=1,1,"")</f>
        <v/>
      </c>
      <c r="K22" s="15" t="str">
        <f>IF(J22&lt;&gt;"",J22+1,IF(WEEKDAY(DATEVALUE($Z$1&amp;$J$20&amp;1))=2,1,""))</f>
        <v/>
      </c>
      <c r="L22" s="15" t="str">
        <f>IF(K22&lt;&gt;"",K22+1,IF(WEEKDAY(DATEVALUE($Z$1&amp;$J$20&amp;1))=3,1,""))</f>
        <v/>
      </c>
      <c r="M22" s="15" t="str">
        <f>IF(L22&lt;&gt;"",L22+1,IF(WEEKDAY(DATEVALUE($Z$1&amp;$J$20&amp;1))=4,1,""))</f>
        <v/>
      </c>
      <c r="N22" s="15" t="str">
        <f>IF(M22&lt;&gt;"",M22+1,IF(WEEKDAY(DATEVALUE($Z$1&amp;$J$20&amp;1))=5,1,""))</f>
        <v/>
      </c>
      <c r="O22" s="15" t="str">
        <f>IF(N22&lt;&gt;"",N22+1,IF(WEEKDAY(DATEVALUE($Z$1&amp;$J$20&amp;1))=6,1,""))</f>
        <v/>
      </c>
      <c r="P22" s="15">
        <f>IF(O22&lt;&gt;"",O22+1,IF(WEEKDAY(DATEVALUE($Z$1&amp;$J$20&amp;1))=7,1,""))</f>
        <v>1</v>
      </c>
      <c r="Q22" s="15"/>
      <c r="R22" s="15" t="str">
        <f>IF(WEEKDAY(DATEVALUE($Z$1&amp;$R$20&amp;1))=1,1,"")</f>
        <v/>
      </c>
      <c r="S22" s="15" t="str">
        <f>IF(R22&lt;&gt;"",R22+1,IF(WEEKDAY(DATEVALUE($Z$1&amp;$R$20&amp;1))=2,1,""))</f>
        <v/>
      </c>
      <c r="T22" s="15">
        <f>IF(S22&lt;&gt;"",S22+1,IF(WEEKDAY(DATEVALUE($Z$1&amp;$R$20&amp;1))=3,1,""))</f>
        <v>1</v>
      </c>
      <c r="U22" s="15">
        <f>IF(T22&lt;&gt;"",T22+1,IF(WEEKDAY(DATEVALUE($Z$1&amp;$R$20&amp;1))=4,1,""))</f>
        <v>2</v>
      </c>
      <c r="V22" s="15">
        <f>IF(U22&lt;&gt;"",U22+1,IF(WEEKDAY(DATEVALUE($Z$1&amp;$R$20&amp;1))=5,1,""))</f>
        <v>3</v>
      </c>
      <c r="W22" s="15">
        <f>IF(V22&lt;&gt;"",V22+1,IF(WEEKDAY(DATEVALUE($Z$1&amp;$R$20&amp;1))=6,1,""))</f>
        <v>4</v>
      </c>
      <c r="X22" s="15">
        <f>IF(W22&lt;&gt;"",W22+1,IF(WEEKDAY(DATEVALUE($Z$1&amp;$R$20&amp;1))=7,1,""))</f>
        <v>5</v>
      </c>
      <c r="Y22" s="14"/>
    </row>
    <row r="23" ht="16.5" customHeight="1">
      <c r="A23" s="17"/>
      <c r="B23" s="18">
        <f t="shared" ref="B23:B27" si="40">IF(OR(H22="",VALUE(H22)&gt;EOMONTH(DATEVALUE($Z$1&amp;$B$20&amp;1),0)-EOMONTH(DATEVALUE($Z$1&amp;$B$20&amp;1),-1)-1),"",H22+1)</f>
        <v>5</v>
      </c>
      <c r="C23" s="18">
        <f t="shared" ref="C23:H23" si="37">IF(OR(B23="",VALUE(B23)&gt;EOMONTH(DATEVALUE($Z$1&amp;$B$20&amp;1),0)-EOMONTH(DATEVALUE($Z$1&amp;$B$20&amp;1),-1)-1),"",B23+1)</f>
        <v>6</v>
      </c>
      <c r="D23" s="18">
        <f t="shared" si="37"/>
        <v>7</v>
      </c>
      <c r="E23" s="18">
        <f t="shared" si="37"/>
        <v>8</v>
      </c>
      <c r="F23" s="18">
        <f t="shared" si="37"/>
        <v>9</v>
      </c>
      <c r="G23" s="18">
        <f t="shared" si="37"/>
        <v>10</v>
      </c>
      <c r="H23" s="18">
        <f t="shared" si="37"/>
        <v>11</v>
      </c>
      <c r="I23" s="15"/>
      <c r="J23" s="18">
        <f t="shared" ref="J23:J27" si="42">IF(OR(P22="",VALUE(P22)&gt;EOMONTH(DATEVALUE($Z$1&amp;$J$20&amp;1),0)-EOMONTH(DATEVALUE($Z$1&amp;$J$20&amp;1),-1)-1),"",P22+1)</f>
        <v>2</v>
      </c>
      <c r="K23" s="18">
        <f t="shared" ref="K23:P23" si="38">IF(OR(J23="",VALUE(J23)&gt;EOMONTH(DATEVALUE($Z$1&amp;$J$20&amp;1),0)-EOMONTH(DATEVALUE($Z$1&amp;$J$20&amp;1),-1)-1),"",J23+1)</f>
        <v>3</v>
      </c>
      <c r="L23" s="18">
        <f t="shared" si="38"/>
        <v>4</v>
      </c>
      <c r="M23" s="18">
        <f t="shared" si="38"/>
        <v>5</v>
      </c>
      <c r="N23" s="18">
        <f t="shared" si="38"/>
        <v>6</v>
      </c>
      <c r="O23" s="18">
        <f t="shared" si="38"/>
        <v>7</v>
      </c>
      <c r="P23" s="18">
        <f t="shared" si="38"/>
        <v>8</v>
      </c>
      <c r="Q23" s="15"/>
      <c r="R23" s="18">
        <f t="shared" ref="R23:R27" si="44">IF(OR(X22="",VALUE(X22)&gt;EOMONTH(DATEVALUE($Z$1&amp;$R$20&amp;1),0)-EOMONTH(DATEVALUE($Z$1&amp;$R$20&amp;1),-1)-1),"",X22+1)</f>
        <v>6</v>
      </c>
      <c r="S23" s="18">
        <f t="shared" ref="S23:X23" si="39">IF(OR(R23="",VALUE(R23)&gt;EOMONTH(DATEVALUE($Z$1&amp;$R$20&amp;1),0)-EOMONTH(DATEVALUE($Z$1&amp;$R$20&amp;1),-1)-1),"",R23+1)</f>
        <v>7</v>
      </c>
      <c r="T23" s="18">
        <f t="shared" si="39"/>
        <v>8</v>
      </c>
      <c r="U23" s="18">
        <f t="shared" si="39"/>
        <v>9</v>
      </c>
      <c r="V23" s="18">
        <f t="shared" si="39"/>
        <v>10</v>
      </c>
      <c r="W23" s="18">
        <f t="shared" si="39"/>
        <v>11</v>
      </c>
      <c r="X23" s="18">
        <f t="shared" si="39"/>
        <v>12</v>
      </c>
      <c r="Y23" s="14"/>
    </row>
    <row r="24" ht="16.5" customHeight="1">
      <c r="A24" s="17"/>
      <c r="B24" s="18">
        <f t="shared" si="40"/>
        <v>12</v>
      </c>
      <c r="C24" s="18">
        <f t="shared" ref="C24:H24" si="41">IF(OR(B24="",VALUE(B24)&gt;EOMONTH(DATEVALUE($Z$1&amp;$B$20&amp;1),0)-EOMONTH(DATEVALUE($Z$1&amp;$B$20&amp;1),-1)-1),"",B24+1)</f>
        <v>13</v>
      </c>
      <c r="D24" s="18">
        <f t="shared" si="41"/>
        <v>14</v>
      </c>
      <c r="E24" s="18">
        <f t="shared" si="41"/>
        <v>15</v>
      </c>
      <c r="F24" s="18">
        <f t="shared" si="41"/>
        <v>16</v>
      </c>
      <c r="G24" s="18">
        <f t="shared" si="41"/>
        <v>17</v>
      </c>
      <c r="H24" s="18">
        <f t="shared" si="41"/>
        <v>18</v>
      </c>
      <c r="I24" s="15"/>
      <c r="J24" s="18">
        <f t="shared" si="42"/>
        <v>9</v>
      </c>
      <c r="K24" s="18">
        <f t="shared" ref="K24:P24" si="43">IF(OR(J24="",VALUE(J24)&gt;EOMONTH(DATEVALUE($Z$1&amp;$J$20&amp;1),0)-EOMONTH(DATEVALUE($Z$1&amp;$J$20&amp;1),-1)-1),"",J24+1)</f>
        <v>10</v>
      </c>
      <c r="L24" s="18">
        <f t="shared" si="43"/>
        <v>11</v>
      </c>
      <c r="M24" s="18">
        <f t="shared" si="43"/>
        <v>12</v>
      </c>
      <c r="N24" s="18">
        <f t="shared" si="43"/>
        <v>13</v>
      </c>
      <c r="O24" s="18">
        <f t="shared" si="43"/>
        <v>14</v>
      </c>
      <c r="P24" s="18">
        <f t="shared" si="43"/>
        <v>15</v>
      </c>
      <c r="Q24" s="15"/>
      <c r="R24" s="18">
        <f t="shared" si="44"/>
        <v>13</v>
      </c>
      <c r="S24" s="18">
        <f t="shared" ref="S24:X24" si="45">IF(OR(R24="",VALUE(R24)&gt;EOMONTH(DATEVALUE($Z$1&amp;$R$20&amp;1),0)-EOMONTH(DATEVALUE($Z$1&amp;$R$20&amp;1),-1)-1),"",R24+1)</f>
        <v>14</v>
      </c>
      <c r="T24" s="18">
        <f t="shared" si="45"/>
        <v>15</v>
      </c>
      <c r="U24" s="18">
        <f t="shared" si="45"/>
        <v>16</v>
      </c>
      <c r="V24" s="18">
        <f t="shared" si="45"/>
        <v>17</v>
      </c>
      <c r="W24" s="18">
        <f t="shared" si="45"/>
        <v>18</v>
      </c>
      <c r="X24" s="18">
        <f t="shared" si="45"/>
        <v>19</v>
      </c>
      <c r="Y24" s="14"/>
    </row>
    <row r="25" ht="16.5" customHeight="1">
      <c r="A25" s="17"/>
      <c r="B25" s="18">
        <f t="shared" si="40"/>
        <v>19</v>
      </c>
      <c r="C25" s="18">
        <f t="shared" ref="C25:H25" si="46">IF(OR(B25="",VALUE(B25)&gt;EOMONTH(DATEVALUE($Z$1&amp;$B$20&amp;1),0)-EOMONTH(DATEVALUE($Z$1&amp;$B$20&amp;1),-1)-1),"",B25+1)</f>
        <v>20</v>
      </c>
      <c r="D25" s="18">
        <f t="shared" si="46"/>
        <v>21</v>
      </c>
      <c r="E25" s="18">
        <f t="shared" si="46"/>
        <v>22</v>
      </c>
      <c r="F25" s="18">
        <f t="shared" si="46"/>
        <v>23</v>
      </c>
      <c r="G25" s="18">
        <f t="shared" si="46"/>
        <v>24</v>
      </c>
      <c r="H25" s="18">
        <f t="shared" si="46"/>
        <v>25</v>
      </c>
      <c r="I25" s="15"/>
      <c r="J25" s="18">
        <f t="shared" si="42"/>
        <v>16</v>
      </c>
      <c r="K25" s="18">
        <f t="shared" ref="K25:P25" si="47">IF(OR(J25="",VALUE(J25)&gt;EOMONTH(DATEVALUE($Z$1&amp;$J$20&amp;1),0)-EOMONTH(DATEVALUE($Z$1&amp;$J$20&amp;1),-1)-1),"",J25+1)</f>
        <v>17</v>
      </c>
      <c r="L25" s="18">
        <f t="shared" si="47"/>
        <v>18</v>
      </c>
      <c r="M25" s="18">
        <f t="shared" si="47"/>
        <v>19</v>
      </c>
      <c r="N25" s="18">
        <f t="shared" si="47"/>
        <v>20</v>
      </c>
      <c r="O25" s="18">
        <f t="shared" si="47"/>
        <v>21</v>
      </c>
      <c r="P25" s="18">
        <f t="shared" si="47"/>
        <v>22</v>
      </c>
      <c r="Q25" s="15"/>
      <c r="R25" s="18">
        <f t="shared" si="44"/>
        <v>20</v>
      </c>
      <c r="S25" s="18">
        <f t="shared" ref="S25:X25" si="48">IF(OR(R25="",VALUE(R25)&gt;EOMONTH(DATEVALUE($Z$1&amp;$R$20&amp;1),0)-EOMONTH(DATEVALUE($Z$1&amp;$R$20&amp;1),-1)-1),"",R25+1)</f>
        <v>21</v>
      </c>
      <c r="T25" s="18">
        <f t="shared" si="48"/>
        <v>22</v>
      </c>
      <c r="U25" s="18">
        <f t="shared" si="48"/>
        <v>23</v>
      </c>
      <c r="V25" s="18">
        <f t="shared" si="48"/>
        <v>24</v>
      </c>
      <c r="W25" s="18">
        <f t="shared" si="48"/>
        <v>25</v>
      </c>
      <c r="X25" s="18">
        <f t="shared" si="48"/>
        <v>26</v>
      </c>
      <c r="Y25" s="14"/>
    </row>
    <row r="26" ht="16.5" customHeight="1">
      <c r="A26" s="17"/>
      <c r="B26" s="18">
        <f t="shared" si="40"/>
        <v>26</v>
      </c>
      <c r="C26" s="18">
        <f t="shared" ref="C26:H26" si="49">IF(OR(B26="",VALUE(B26)&gt;EOMONTH(DATEVALUE($Z$1&amp;$B$20&amp;1),0)-EOMONTH(DATEVALUE($Z$1&amp;$B$20&amp;1),-1)-1),"",B26+1)</f>
        <v>27</v>
      </c>
      <c r="D26" s="18">
        <f t="shared" si="49"/>
        <v>28</v>
      </c>
      <c r="E26" s="18">
        <f t="shared" si="49"/>
        <v>29</v>
      </c>
      <c r="F26" s="18">
        <f t="shared" si="49"/>
        <v>30</v>
      </c>
      <c r="G26" s="18">
        <f t="shared" si="49"/>
        <v>31</v>
      </c>
      <c r="H26" s="18" t="str">
        <f t="shared" si="49"/>
        <v/>
      </c>
      <c r="I26" s="15"/>
      <c r="J26" s="18">
        <f t="shared" si="42"/>
        <v>23</v>
      </c>
      <c r="K26" s="18">
        <f t="shared" ref="K26:P26" si="50">IF(OR(J26="",VALUE(J26)&gt;EOMONTH(DATEVALUE($Z$1&amp;$J$20&amp;1),0)-EOMONTH(DATEVALUE($Z$1&amp;$J$20&amp;1),-1)-1),"",J26+1)</f>
        <v>24</v>
      </c>
      <c r="L26" s="18">
        <f t="shared" si="50"/>
        <v>25</v>
      </c>
      <c r="M26" s="18">
        <f t="shared" si="50"/>
        <v>26</v>
      </c>
      <c r="N26" s="18">
        <f t="shared" si="50"/>
        <v>27</v>
      </c>
      <c r="O26" s="18">
        <f t="shared" si="50"/>
        <v>28</v>
      </c>
      <c r="P26" s="18">
        <f t="shared" si="50"/>
        <v>29</v>
      </c>
      <c r="Q26" s="15"/>
      <c r="R26" s="18">
        <f t="shared" si="44"/>
        <v>27</v>
      </c>
      <c r="S26" s="18">
        <f t="shared" ref="S26:X26" si="51">IF(OR(R26="",VALUE(R26)&gt;EOMONTH(DATEVALUE($Z$1&amp;$R$20&amp;1),0)-EOMONTH(DATEVALUE($Z$1&amp;$R$20&amp;1),-1)-1),"",R26+1)</f>
        <v>28</v>
      </c>
      <c r="T26" s="18">
        <f t="shared" si="51"/>
        <v>29</v>
      </c>
      <c r="U26" s="18">
        <f t="shared" si="51"/>
        <v>30</v>
      </c>
      <c r="V26" s="18" t="str">
        <f t="shared" si="51"/>
        <v/>
      </c>
      <c r="W26" s="18" t="str">
        <f t="shared" si="51"/>
        <v/>
      </c>
      <c r="X26" s="18" t="str">
        <f t="shared" si="51"/>
        <v/>
      </c>
      <c r="Y26" s="14"/>
    </row>
    <row r="27" ht="16.5" customHeight="1">
      <c r="A27" s="17"/>
      <c r="B27" s="18" t="str">
        <f t="shared" si="40"/>
        <v/>
      </c>
      <c r="C27" s="18" t="str">
        <f t="shared" ref="C27:H27" si="52">IF(OR(B27="",VALUE(B27)&gt;EOMONTH(DATEVALUE($Z$1&amp;$B$20&amp;1),0)-EOMONTH(DATEVALUE($Z$1&amp;$B$20&amp;1),-1)-1),"",B27+1)</f>
        <v/>
      </c>
      <c r="D27" s="18" t="str">
        <f t="shared" si="52"/>
        <v/>
      </c>
      <c r="E27" s="18" t="str">
        <f t="shared" si="52"/>
        <v/>
      </c>
      <c r="F27" s="18" t="str">
        <f t="shared" si="52"/>
        <v/>
      </c>
      <c r="G27" s="18" t="str">
        <f t="shared" si="52"/>
        <v/>
      </c>
      <c r="H27" s="18" t="str">
        <f t="shared" si="52"/>
        <v/>
      </c>
      <c r="I27" s="15"/>
      <c r="J27" s="18">
        <f t="shared" si="42"/>
        <v>30</v>
      </c>
      <c r="K27" s="18">
        <f t="shared" ref="K27:P27" si="53">IF(OR(J27="",VALUE(J27)&gt;EOMONTH(DATEVALUE($Z$1&amp;$J$20&amp;1),0)-EOMONTH(DATEVALUE($Z$1&amp;$J$20&amp;1),-1)-1),"",J27+1)</f>
        <v>31</v>
      </c>
      <c r="L27" s="18" t="str">
        <f t="shared" si="53"/>
        <v/>
      </c>
      <c r="M27" s="18" t="str">
        <f t="shared" si="53"/>
        <v/>
      </c>
      <c r="N27" s="18" t="str">
        <f t="shared" si="53"/>
        <v/>
      </c>
      <c r="O27" s="18" t="str">
        <f t="shared" si="53"/>
        <v/>
      </c>
      <c r="P27" s="18" t="str">
        <f t="shared" si="53"/>
        <v/>
      </c>
      <c r="Q27" s="15"/>
      <c r="R27" s="18" t="str">
        <f t="shared" si="44"/>
        <v/>
      </c>
      <c r="S27" s="18" t="str">
        <f t="shared" ref="S27:X27" si="54">IF(OR(R27="",VALUE(R27)&gt;EOMONTH(DATEVALUE($Z$1&amp;$R$20&amp;1),0)-EOMONTH(DATEVALUE($Z$1&amp;$R$20&amp;1),-1)-1),"",R27+1)</f>
        <v/>
      </c>
      <c r="T27" s="18" t="str">
        <f t="shared" si="54"/>
        <v/>
      </c>
      <c r="U27" s="18" t="str">
        <f t="shared" si="54"/>
        <v/>
      </c>
      <c r="V27" s="18" t="str">
        <f t="shared" si="54"/>
        <v/>
      </c>
      <c r="W27" s="18" t="str">
        <f t="shared" si="54"/>
        <v/>
      </c>
      <c r="X27" s="18" t="str">
        <f t="shared" si="54"/>
        <v/>
      </c>
      <c r="Y27" s="14"/>
    </row>
    <row r="28" ht="16.5" customHeight="1">
      <c r="A28" s="17"/>
      <c r="B28" s="27"/>
      <c r="C28" s="27"/>
      <c r="D28" s="27"/>
      <c r="E28" s="27"/>
      <c r="F28" s="27"/>
      <c r="G28" s="27"/>
      <c r="H28" s="27"/>
      <c r="I28" s="28"/>
      <c r="J28" s="27"/>
      <c r="K28" s="27"/>
      <c r="L28" s="27"/>
      <c r="M28" s="27"/>
      <c r="N28" s="27"/>
      <c r="O28" s="27"/>
      <c r="P28" s="27"/>
      <c r="Q28" s="28"/>
      <c r="R28" s="29"/>
      <c r="S28" s="29"/>
      <c r="T28" s="29"/>
      <c r="U28" s="29"/>
      <c r="V28" s="29"/>
      <c r="W28" s="29"/>
      <c r="X28" s="29"/>
      <c r="Y28" s="14"/>
    </row>
    <row r="29" ht="16.5" customHeight="1">
      <c r="A29" s="20"/>
      <c r="B29" s="7" t="s">
        <v>15</v>
      </c>
      <c r="C29" s="8"/>
      <c r="D29" s="8"/>
      <c r="E29" s="8"/>
      <c r="F29" s="8"/>
      <c r="G29" s="8"/>
      <c r="H29" s="8"/>
      <c r="I29" s="9"/>
      <c r="J29" s="7" t="s">
        <v>16</v>
      </c>
      <c r="K29" s="8"/>
      <c r="L29" s="8"/>
      <c r="M29" s="8"/>
      <c r="N29" s="8"/>
      <c r="O29" s="8"/>
      <c r="P29" s="8"/>
      <c r="Q29" s="9"/>
      <c r="R29" s="23" t="s">
        <v>17</v>
      </c>
      <c r="S29" s="8"/>
      <c r="T29" s="8"/>
      <c r="U29" s="8"/>
      <c r="V29" s="8"/>
      <c r="W29" s="8"/>
      <c r="X29" s="8"/>
      <c r="Y29" s="10"/>
    </row>
    <row r="30" ht="16.5" customHeight="1">
      <c r="A30" s="11"/>
      <c r="B30" s="12" t="s">
        <v>4</v>
      </c>
      <c r="C30" s="12" t="s">
        <v>5</v>
      </c>
      <c r="D30" s="12" t="s">
        <v>6</v>
      </c>
      <c r="E30" s="12" t="s">
        <v>7</v>
      </c>
      <c r="F30" s="12" t="s">
        <v>6</v>
      </c>
      <c r="G30" s="12" t="s">
        <v>8</v>
      </c>
      <c r="H30" s="12" t="s">
        <v>4</v>
      </c>
      <c r="I30" s="13"/>
      <c r="J30" s="12" t="s">
        <v>4</v>
      </c>
      <c r="K30" s="12" t="s">
        <v>5</v>
      </c>
      <c r="L30" s="12" t="s">
        <v>6</v>
      </c>
      <c r="M30" s="12" t="s">
        <v>7</v>
      </c>
      <c r="N30" s="12" t="s">
        <v>6</v>
      </c>
      <c r="O30" s="12" t="s">
        <v>8</v>
      </c>
      <c r="P30" s="12" t="s">
        <v>4</v>
      </c>
      <c r="Q30" s="13"/>
      <c r="R30" s="12" t="s">
        <v>4</v>
      </c>
      <c r="S30" s="12" t="s">
        <v>5</v>
      </c>
      <c r="T30" s="12" t="s">
        <v>6</v>
      </c>
      <c r="U30" s="12" t="s">
        <v>7</v>
      </c>
      <c r="V30" s="12" t="s">
        <v>6</v>
      </c>
      <c r="W30" s="12" t="s">
        <v>8</v>
      </c>
      <c r="X30" s="12" t="s">
        <v>4</v>
      </c>
      <c r="Y30" s="14"/>
    </row>
    <row r="31" ht="16.5" customHeight="1">
      <c r="A31" s="11"/>
      <c r="B31" s="15" t="str">
        <f>IF(WEEKDAY(DATEVALUE($Z$1&amp;$B$29&amp;1))=1,1,"")</f>
        <v/>
      </c>
      <c r="C31" s="15" t="str">
        <f>IF(B31&lt;&gt;"",B31+1,IF(WEEKDAY(DATEVALUE($Z$1&amp;$B$29&amp;1))=2,1,""))</f>
        <v/>
      </c>
      <c r="D31" s="15" t="str">
        <f>IF(C31&lt;&gt;"",C31+1,IF(WEEKDAY(DATEVALUE($Z$1&amp;$B$29&amp;1))=3,1,""))</f>
        <v/>
      </c>
      <c r="E31" s="15" t="str">
        <f>IF(D31&lt;&gt;"",D31+1,IF(WEEKDAY(DATEVALUE($Z$1&amp;$B$29&amp;1))=4,1,""))</f>
        <v/>
      </c>
      <c r="F31" s="15">
        <f>IF(E31&lt;&gt;"",E31+1,IF(WEEKDAY(DATEVALUE($Z$1&amp;$B$29&amp;1))=5,1,""))</f>
        <v>1</v>
      </c>
      <c r="G31" s="15">
        <f>IF(F31&lt;&gt;"",F31+1,IF(WEEKDAY(DATEVALUE($Z$1&amp;$B$29&amp;1))=6,1,""))</f>
        <v>2</v>
      </c>
      <c r="H31" s="15">
        <f>IF(G31&lt;&gt;"",G31+1,IF(WEEKDAY(DATEVALUE($Z$1&amp;$B$29&amp;1))=7,1,""))</f>
        <v>3</v>
      </c>
      <c r="I31" s="15"/>
      <c r="J31" s="15">
        <f>IF(WEEKDAY(DATEVALUE($Z$1&amp;$J$29&amp;1))=1,1,"")</f>
        <v>1</v>
      </c>
      <c r="K31" s="15">
        <f>IF(J31&lt;&gt;"",J31+1,IF(WEEKDAY(DATEVALUE($Z$1&amp;$J$29&amp;1))=2,1,""))</f>
        <v>2</v>
      </c>
      <c r="L31" s="15">
        <f>IF(K31&lt;&gt;"",K31+1,IF(WEEKDAY(DATEVALUE($Z$1&amp;$J$29&amp;1))=3,1,""))</f>
        <v>3</v>
      </c>
      <c r="M31" s="15">
        <f>IF(L31&lt;&gt;"",L31+1,IF(WEEKDAY(DATEVALUE($Z$1&amp;$J$29&amp;1))=4,1,""))</f>
        <v>4</v>
      </c>
      <c r="N31" s="15">
        <f>IF(M31&lt;&gt;"",M31+1,IF(WEEKDAY(DATEVALUE($Z$1&amp;$J$29&amp;1))=5,1,""))</f>
        <v>5</v>
      </c>
      <c r="O31" s="15">
        <f>IF(N31&lt;&gt;"",N31+1,IF(WEEKDAY(DATEVALUE($Z$1&amp;$J$29&amp;1))=6,1,""))</f>
        <v>6</v>
      </c>
      <c r="P31" s="15">
        <f>IF(O31&lt;&gt;"",O31+1,IF(WEEKDAY(DATEVALUE($Z$1&amp;$J$29&amp;1))=7,1,""))</f>
        <v>7</v>
      </c>
      <c r="Q31" s="15"/>
      <c r="R31" s="15" t="str">
        <f>IF(WEEKDAY(DATEVALUE($Z$1&amp;$R$29&amp;1))=1,1,"")</f>
        <v/>
      </c>
      <c r="S31" s="15" t="str">
        <f>IF(R31&lt;&gt;"",R31+1,IF(WEEKDAY(DATEVALUE($Z$1&amp;$R$29&amp;1))=2,1,""))</f>
        <v/>
      </c>
      <c r="T31" s="15">
        <f>IF(S31&lt;&gt;"",S31+1,IF(WEEKDAY(DATEVALUE($Z$1&amp;$R$29&amp;1))=3,1,""))</f>
        <v>1</v>
      </c>
      <c r="U31" s="15">
        <f>IF(T31&lt;&gt;"",T31+1,IF(WEEKDAY(DATEVALUE($Z$1&amp;$R$29&amp;1))=4,1,""))</f>
        <v>2</v>
      </c>
      <c r="V31" s="15">
        <f>IF(U31&lt;&gt;"",U31+1,IF(WEEKDAY(DATEVALUE($Z$1&amp;$R$29&amp;1))=5,1,""))</f>
        <v>3</v>
      </c>
      <c r="W31" s="15">
        <f>IF(V31&lt;&gt;"",V31+1,IF(WEEKDAY(DATEVALUE($Z$1&amp;$R$29&amp;1))=6,1,""))</f>
        <v>4</v>
      </c>
      <c r="X31" s="15">
        <f>IF(W31&lt;&gt;"",W31+1,IF(WEEKDAY(DATEVALUE($Z$1&amp;$R$29&amp;1))=7,1,""))</f>
        <v>5</v>
      </c>
      <c r="Y31" s="14"/>
    </row>
    <row r="32" ht="16.5" customHeight="1">
      <c r="A32" s="17"/>
      <c r="B32" s="18">
        <f t="shared" ref="B32:B36" si="58">IF(OR(H31="",VALUE(H31)&gt;EOMONTH(DATEVALUE($Z$1&amp;$B$29&amp;1),0)-EOMONTH(DATEVALUE($Z$1&amp;$B$29&amp;1),-1)-1),"",H31+1)</f>
        <v>4</v>
      </c>
      <c r="C32" s="18">
        <f t="shared" ref="C32:H32" si="55">IF(OR(B32="",VALUE(B32)&gt;EOMONTH(DATEVALUE($Z$1&amp;$B$29&amp;1),0)-EOMONTH(DATEVALUE($Z$1&amp;$B$29&amp;1),-1)-1),"",B32+1)</f>
        <v>5</v>
      </c>
      <c r="D32" s="18">
        <f t="shared" si="55"/>
        <v>6</v>
      </c>
      <c r="E32" s="18">
        <f t="shared" si="55"/>
        <v>7</v>
      </c>
      <c r="F32" s="18">
        <f t="shared" si="55"/>
        <v>8</v>
      </c>
      <c r="G32" s="18">
        <f t="shared" si="55"/>
        <v>9</v>
      </c>
      <c r="H32" s="18">
        <f t="shared" si="55"/>
        <v>10</v>
      </c>
      <c r="I32" s="15"/>
      <c r="J32" s="18">
        <f t="shared" ref="J32:J36" si="60">IF(OR(P31="",VALUE(P31)&gt;EOMONTH(DATEVALUE($Z$1&amp;$J$29&amp;1),0)-EOMONTH(DATEVALUE($Z$1&amp;$J$29&amp;1),-1)-1),"",P31+1)</f>
        <v>8</v>
      </c>
      <c r="K32" s="18">
        <f t="shared" ref="K32:P32" si="56">IF(OR(J32="",VALUE(J32)&gt;EOMONTH(DATEVALUE($Z$1&amp;$J$29&amp;1),0)-EOMONTH(DATEVALUE($Z$1&amp;$J$29&amp;1),-1)-1),"",J32+1)</f>
        <v>9</v>
      </c>
      <c r="L32" s="18">
        <f t="shared" si="56"/>
        <v>10</v>
      </c>
      <c r="M32" s="18">
        <f t="shared" si="56"/>
        <v>11</v>
      </c>
      <c r="N32" s="18">
        <f t="shared" si="56"/>
        <v>12</v>
      </c>
      <c r="O32" s="18">
        <f t="shared" si="56"/>
        <v>13</v>
      </c>
      <c r="P32" s="18">
        <f t="shared" si="56"/>
        <v>14</v>
      </c>
      <c r="Q32" s="15"/>
      <c r="R32" s="18">
        <f t="shared" ref="R32:R36" si="62">IF(OR(X31="",VALUE(X31)&gt;EOMONTH(DATEVALUE($Z$1&amp;$R$29&amp;1),0)-EOMONTH(DATEVALUE($Z$1&amp;$R$29&amp;1),-1)-1),"",X31+1)</f>
        <v>6</v>
      </c>
      <c r="S32" s="18">
        <f t="shared" ref="S32:X32" si="57">IF(OR(R32="",VALUE(R32)&gt;EOMONTH(DATEVALUE($Z$1&amp;$R$29&amp;1),0)-EOMONTH(DATEVALUE($Z$1&amp;$R$29&amp;1),-1)-1),"",R32+1)</f>
        <v>7</v>
      </c>
      <c r="T32" s="18">
        <f t="shared" si="57"/>
        <v>8</v>
      </c>
      <c r="U32" s="18">
        <f t="shared" si="57"/>
        <v>9</v>
      </c>
      <c r="V32" s="18">
        <f t="shared" si="57"/>
        <v>10</v>
      </c>
      <c r="W32" s="18">
        <f t="shared" si="57"/>
        <v>11</v>
      </c>
      <c r="X32" s="18">
        <f t="shared" si="57"/>
        <v>12</v>
      </c>
      <c r="Y32" s="14"/>
    </row>
    <row r="33" ht="16.5" customHeight="1">
      <c r="A33" s="17"/>
      <c r="B33" s="18">
        <f t="shared" si="58"/>
        <v>11</v>
      </c>
      <c r="C33" s="18">
        <f t="shared" ref="C33:H33" si="59">IF(OR(B33="",VALUE(B33)&gt;EOMONTH(DATEVALUE($Z$1&amp;$B$29&amp;1),0)-EOMONTH(DATEVALUE($Z$1&amp;$B$29&amp;1),-1)-1),"",B33+1)</f>
        <v>12</v>
      </c>
      <c r="D33" s="18">
        <f t="shared" si="59"/>
        <v>13</v>
      </c>
      <c r="E33" s="18">
        <f t="shared" si="59"/>
        <v>14</v>
      </c>
      <c r="F33" s="18">
        <f t="shared" si="59"/>
        <v>15</v>
      </c>
      <c r="G33" s="18">
        <f t="shared" si="59"/>
        <v>16</v>
      </c>
      <c r="H33" s="18">
        <f t="shared" si="59"/>
        <v>17</v>
      </c>
      <c r="I33" s="15"/>
      <c r="J33" s="18">
        <f t="shared" si="60"/>
        <v>15</v>
      </c>
      <c r="K33" s="18">
        <f t="shared" ref="K33:P33" si="61">IF(OR(J33="",VALUE(J33)&gt;EOMONTH(DATEVALUE($Z$1&amp;$J$29&amp;1),0)-EOMONTH(DATEVALUE($Z$1&amp;$J$29&amp;1),-1)-1),"",J33+1)</f>
        <v>16</v>
      </c>
      <c r="L33" s="18">
        <f t="shared" si="61"/>
        <v>17</v>
      </c>
      <c r="M33" s="18">
        <f t="shared" si="61"/>
        <v>18</v>
      </c>
      <c r="N33" s="18">
        <f t="shared" si="61"/>
        <v>19</v>
      </c>
      <c r="O33" s="18">
        <f t="shared" si="61"/>
        <v>20</v>
      </c>
      <c r="P33" s="18">
        <f t="shared" si="61"/>
        <v>21</v>
      </c>
      <c r="Q33" s="15"/>
      <c r="R33" s="18">
        <f t="shared" si="62"/>
        <v>13</v>
      </c>
      <c r="S33" s="18">
        <f t="shared" ref="S33:X33" si="63">IF(OR(R33="",VALUE(R33)&gt;EOMONTH(DATEVALUE($Z$1&amp;$R$29&amp;1),0)-EOMONTH(DATEVALUE($Z$1&amp;$R$29&amp;1),-1)-1),"",R33+1)</f>
        <v>14</v>
      </c>
      <c r="T33" s="18">
        <f t="shared" si="63"/>
        <v>15</v>
      </c>
      <c r="U33" s="18">
        <f t="shared" si="63"/>
        <v>16</v>
      </c>
      <c r="V33" s="18">
        <f t="shared" si="63"/>
        <v>17</v>
      </c>
      <c r="W33" s="18">
        <f t="shared" si="63"/>
        <v>18</v>
      </c>
      <c r="X33" s="18">
        <f t="shared" si="63"/>
        <v>19</v>
      </c>
      <c r="Y33" s="14"/>
    </row>
    <row r="34" ht="16.5" customHeight="1">
      <c r="A34" s="17"/>
      <c r="B34" s="18">
        <f t="shared" si="58"/>
        <v>18</v>
      </c>
      <c r="C34" s="18">
        <f t="shared" ref="C34:H34" si="64">IF(OR(B34="",VALUE(B34)&gt;EOMONTH(DATEVALUE($Z$1&amp;$B$29&amp;1),0)-EOMONTH(DATEVALUE($Z$1&amp;$B$29&amp;1),-1)-1),"",B34+1)</f>
        <v>19</v>
      </c>
      <c r="D34" s="18">
        <f t="shared" si="64"/>
        <v>20</v>
      </c>
      <c r="E34" s="18">
        <f t="shared" si="64"/>
        <v>21</v>
      </c>
      <c r="F34" s="18">
        <f t="shared" si="64"/>
        <v>22</v>
      </c>
      <c r="G34" s="18">
        <f t="shared" si="64"/>
        <v>23</v>
      </c>
      <c r="H34" s="18">
        <f t="shared" si="64"/>
        <v>24</v>
      </c>
      <c r="I34" s="15"/>
      <c r="J34" s="18">
        <f t="shared" si="60"/>
        <v>22</v>
      </c>
      <c r="K34" s="18">
        <f t="shared" ref="K34:P34" si="65">IF(OR(J34="",VALUE(J34)&gt;EOMONTH(DATEVALUE($Z$1&amp;$J$29&amp;1),0)-EOMONTH(DATEVALUE($Z$1&amp;$J$29&amp;1),-1)-1),"",J34+1)</f>
        <v>23</v>
      </c>
      <c r="L34" s="18">
        <f t="shared" si="65"/>
        <v>24</v>
      </c>
      <c r="M34" s="18">
        <f t="shared" si="65"/>
        <v>25</v>
      </c>
      <c r="N34" s="18">
        <f t="shared" si="65"/>
        <v>26</v>
      </c>
      <c r="O34" s="18">
        <f t="shared" si="65"/>
        <v>27</v>
      </c>
      <c r="P34" s="18">
        <f t="shared" si="65"/>
        <v>28</v>
      </c>
      <c r="Q34" s="15"/>
      <c r="R34" s="18">
        <f t="shared" si="62"/>
        <v>20</v>
      </c>
      <c r="S34" s="18">
        <f t="shared" ref="S34:X34" si="66">IF(OR(R34="",VALUE(R34)&gt;EOMONTH(DATEVALUE($Z$1&amp;$R$29&amp;1),0)-EOMONTH(DATEVALUE($Z$1&amp;$R$29&amp;1),-1)-1),"",R34+1)</f>
        <v>21</v>
      </c>
      <c r="T34" s="18">
        <f t="shared" si="66"/>
        <v>22</v>
      </c>
      <c r="U34" s="18">
        <f t="shared" si="66"/>
        <v>23</v>
      </c>
      <c r="V34" s="18">
        <f t="shared" si="66"/>
        <v>24</v>
      </c>
      <c r="W34" s="18">
        <f t="shared" si="66"/>
        <v>25</v>
      </c>
      <c r="X34" s="18">
        <f t="shared" si="66"/>
        <v>26</v>
      </c>
      <c r="Y34" s="14"/>
    </row>
    <row r="35" ht="16.5" customHeight="1">
      <c r="A35" s="17"/>
      <c r="B35" s="18">
        <f t="shared" si="58"/>
        <v>25</v>
      </c>
      <c r="C35" s="18">
        <f t="shared" ref="C35:H35" si="67">IF(OR(B35="",VALUE(B35)&gt;EOMONTH(DATEVALUE($Z$1&amp;$B$29&amp;1),0)-EOMONTH(DATEVALUE($Z$1&amp;$B$29&amp;1),-1)-1),"",B35+1)</f>
        <v>26</v>
      </c>
      <c r="D35" s="18">
        <f t="shared" si="67"/>
        <v>27</v>
      </c>
      <c r="E35" s="18">
        <f t="shared" si="67"/>
        <v>28</v>
      </c>
      <c r="F35" s="18">
        <f t="shared" si="67"/>
        <v>29</v>
      </c>
      <c r="G35" s="18">
        <f t="shared" si="67"/>
        <v>30</v>
      </c>
      <c r="H35" s="18">
        <f t="shared" si="67"/>
        <v>31</v>
      </c>
      <c r="I35" s="15"/>
      <c r="J35" s="18">
        <f t="shared" si="60"/>
        <v>29</v>
      </c>
      <c r="K35" s="18">
        <f t="shared" ref="K35:P35" si="68">IF(OR(J35="",VALUE(J35)&gt;EOMONTH(DATEVALUE($Z$1&amp;$J$29&amp;1),0)-EOMONTH(DATEVALUE($Z$1&amp;$J$29&amp;1),-1)-1),"",J35+1)</f>
        <v>30</v>
      </c>
      <c r="L35" s="18" t="str">
        <f t="shared" si="68"/>
        <v/>
      </c>
      <c r="M35" s="18" t="str">
        <f t="shared" si="68"/>
        <v/>
      </c>
      <c r="N35" s="18" t="str">
        <f t="shared" si="68"/>
        <v/>
      </c>
      <c r="O35" s="18" t="str">
        <f t="shared" si="68"/>
        <v/>
      </c>
      <c r="P35" s="18" t="str">
        <f t="shared" si="68"/>
        <v/>
      </c>
      <c r="Q35" s="15"/>
      <c r="R35" s="18">
        <f t="shared" si="62"/>
        <v>27</v>
      </c>
      <c r="S35" s="18">
        <f t="shared" ref="S35:X35" si="69">IF(OR(R35="",VALUE(R35)&gt;EOMONTH(DATEVALUE($Z$1&amp;$R$29&amp;1),0)-EOMONTH(DATEVALUE($Z$1&amp;$R$29&amp;1),-1)-1),"",R35+1)</f>
        <v>28</v>
      </c>
      <c r="T35" s="18">
        <f t="shared" si="69"/>
        <v>29</v>
      </c>
      <c r="U35" s="18">
        <f t="shared" si="69"/>
        <v>30</v>
      </c>
      <c r="V35" s="18">
        <f t="shared" si="69"/>
        <v>31</v>
      </c>
      <c r="W35" s="18" t="str">
        <f t="shared" si="69"/>
        <v/>
      </c>
      <c r="X35" s="18" t="str">
        <f t="shared" si="69"/>
        <v/>
      </c>
      <c r="Y35" s="14"/>
    </row>
    <row r="36" ht="16.5" customHeight="1">
      <c r="A36" s="17"/>
      <c r="B36" s="18" t="str">
        <f t="shared" si="58"/>
        <v/>
      </c>
      <c r="C36" s="18" t="str">
        <f t="shared" ref="C36:H36" si="70">IF(OR(B36="",VALUE(B36)&gt;EOMONTH(DATEVALUE($Z$1&amp;$B$29&amp;1),0)-EOMONTH(DATEVALUE($Z$1&amp;$B$29&amp;1),-1)-1),"",B36+1)</f>
        <v/>
      </c>
      <c r="D36" s="18" t="str">
        <f t="shared" si="70"/>
        <v/>
      </c>
      <c r="E36" s="18" t="str">
        <f t="shared" si="70"/>
        <v/>
      </c>
      <c r="F36" s="18" t="str">
        <f t="shared" si="70"/>
        <v/>
      </c>
      <c r="G36" s="18" t="str">
        <f t="shared" si="70"/>
        <v/>
      </c>
      <c r="H36" s="18" t="str">
        <f t="shared" si="70"/>
        <v/>
      </c>
      <c r="I36" s="15"/>
      <c r="J36" s="18" t="str">
        <f t="shared" si="60"/>
        <v/>
      </c>
      <c r="K36" s="18" t="str">
        <f t="shared" ref="K36:P36" si="71">IF(OR(J36="",VALUE(J36)&gt;EOMONTH(DATEVALUE($Z$1&amp;$J$29&amp;1),0)-EOMONTH(DATEVALUE($Z$1&amp;$J$29&amp;1),-1)-1),"",J36+1)</f>
        <v/>
      </c>
      <c r="L36" s="18" t="str">
        <f t="shared" si="71"/>
        <v/>
      </c>
      <c r="M36" s="18" t="str">
        <f t="shared" si="71"/>
        <v/>
      </c>
      <c r="N36" s="18" t="str">
        <f t="shared" si="71"/>
        <v/>
      </c>
      <c r="O36" s="18" t="str">
        <f t="shared" si="71"/>
        <v/>
      </c>
      <c r="P36" s="18" t="str">
        <f t="shared" si="71"/>
        <v/>
      </c>
      <c r="Q36" s="15"/>
      <c r="R36" s="18" t="str">
        <f t="shared" si="62"/>
        <v/>
      </c>
      <c r="S36" s="18" t="str">
        <f t="shared" ref="S36:X36" si="72">IF(OR(R36="",VALUE(R36)&gt;EOMONTH(DATEVALUE($Z$1&amp;$R$29&amp;1),0)-EOMONTH(DATEVALUE($Z$1&amp;$R$29&amp;1),-1)-1),"",R36+1)</f>
        <v/>
      </c>
      <c r="T36" s="18" t="str">
        <f t="shared" si="72"/>
        <v/>
      </c>
      <c r="U36" s="18" t="str">
        <f t="shared" si="72"/>
        <v/>
      </c>
      <c r="V36" s="18" t="str">
        <f t="shared" si="72"/>
        <v/>
      </c>
      <c r="W36" s="18" t="str">
        <f t="shared" si="72"/>
        <v/>
      </c>
      <c r="X36" s="18" t="str">
        <f t="shared" si="72"/>
        <v/>
      </c>
      <c r="Y36" s="14"/>
    </row>
    <row r="37" ht="16.5" customHeight="1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2"/>
      <c r="S37" s="32"/>
      <c r="T37" s="32"/>
      <c r="U37" s="32"/>
      <c r="V37" s="32"/>
      <c r="W37" s="32"/>
      <c r="X37" s="32"/>
      <c r="Y37" s="1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1:H11"/>
    <mergeCell ref="B20:H20"/>
    <mergeCell ref="J20:P20"/>
    <mergeCell ref="R20:X20"/>
    <mergeCell ref="B29:H29"/>
    <mergeCell ref="J29:P29"/>
    <mergeCell ref="Z1:Z37"/>
    <mergeCell ref="AA1:AA37"/>
    <mergeCell ref="B2:H2"/>
    <mergeCell ref="J2:P2"/>
    <mergeCell ref="R2:X2"/>
    <mergeCell ref="J11:P11"/>
    <mergeCell ref="R11:X11"/>
    <mergeCell ref="R29:X29"/>
  </mergeCells>
  <dataValidations>
    <dataValidation type="custom" allowBlank="1" showDropDown="1" showErrorMessage="1" sqref="I5:I9 Q5:Q9 I20 Q20">
      <formula1>OR(NOT(ISERROR(DATEVALUE(I5))), AND(ISNUMBER(I5), LEFT(CELL("format", I5))="D"))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4" width="34.88"/>
    <col customWidth="1" min="5" max="5" width="4.13"/>
    <col customWidth="1" min="6" max="6" width="12.63"/>
  </cols>
  <sheetData>
    <row r="1" ht="15.75" customHeight="1">
      <c r="A1" s="33"/>
      <c r="B1" s="34" t="s">
        <v>18</v>
      </c>
      <c r="C1" s="33"/>
      <c r="D1" s="33"/>
      <c r="E1" s="33"/>
    </row>
    <row r="2" ht="15.75" customHeight="1">
      <c r="A2" s="35"/>
      <c r="B2" s="36" t="s">
        <v>19</v>
      </c>
      <c r="E2" s="37"/>
    </row>
    <row r="3" ht="15.75" customHeight="1">
      <c r="A3" s="38"/>
      <c r="B3" s="39" t="s">
        <v>20</v>
      </c>
      <c r="E3" s="38"/>
    </row>
    <row r="4" ht="15.75" customHeight="1">
      <c r="A4" s="33"/>
      <c r="B4" s="33"/>
      <c r="C4" s="33"/>
      <c r="D4" s="33"/>
      <c r="E4" s="33"/>
    </row>
    <row r="5" ht="150.0" customHeight="1">
      <c r="A5" s="33"/>
      <c r="B5" s="33"/>
      <c r="C5" s="33"/>
      <c r="D5" s="33"/>
      <c r="E5" s="33"/>
    </row>
    <row r="6" ht="15.75" customHeight="1">
      <c r="A6" s="38"/>
      <c r="B6" s="38" t="s">
        <v>21</v>
      </c>
      <c r="C6" s="38"/>
      <c r="D6" s="38"/>
      <c r="E6" s="38"/>
    </row>
    <row r="7" ht="15.75" customHeight="1">
      <c r="A7" s="33"/>
      <c r="B7" s="33"/>
      <c r="C7" s="33"/>
      <c r="D7" s="33"/>
      <c r="E7" s="33"/>
    </row>
    <row r="8" ht="150.0" customHeight="1">
      <c r="A8" s="33"/>
      <c r="B8" s="33"/>
      <c r="C8" s="33"/>
      <c r="D8" s="33"/>
      <c r="E8" s="33"/>
    </row>
    <row r="9" ht="15.75" customHeight="1">
      <c r="A9" s="38"/>
      <c r="B9" s="38" t="s">
        <v>22</v>
      </c>
      <c r="C9" s="38"/>
      <c r="D9" s="38"/>
      <c r="E9" s="38"/>
    </row>
    <row r="10" ht="15.75" customHeight="1">
      <c r="A10" s="33"/>
      <c r="B10" s="33"/>
      <c r="C10" s="33"/>
      <c r="D10" s="33"/>
      <c r="E10" s="33"/>
    </row>
    <row r="11" ht="150.0" customHeight="1">
      <c r="A11" s="33"/>
      <c r="B11" s="33"/>
      <c r="C11" s="33"/>
      <c r="D11" s="33"/>
      <c r="E11" s="33"/>
    </row>
    <row r="12" ht="15.75" customHeight="1">
      <c r="A12" s="38"/>
      <c r="B12" s="38" t="s">
        <v>23</v>
      </c>
      <c r="C12" s="38"/>
      <c r="D12" s="38"/>
      <c r="E12" s="38"/>
    </row>
    <row r="13" ht="15.75" customHeight="1">
      <c r="A13" s="33"/>
      <c r="B13" s="33"/>
      <c r="C13" s="33"/>
      <c r="D13" s="33"/>
      <c r="E13" s="33"/>
    </row>
    <row r="14" ht="15.75" customHeight="1">
      <c r="A14" s="40"/>
      <c r="B14" s="41" t="s">
        <v>24</v>
      </c>
    </row>
    <row r="15" ht="15.75" customHeight="1">
      <c r="A15" s="33"/>
      <c r="B15" s="33"/>
      <c r="C15" s="33"/>
      <c r="D15" s="33"/>
      <c r="E15" s="3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4:E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6.38"/>
    <col customWidth="1" min="3" max="3" width="3.88"/>
    <col hidden="1" min="4" max="8" width="12.63"/>
  </cols>
  <sheetData>
    <row r="1" ht="37.5" customHeight="1">
      <c r="A1" s="42" t="s">
        <v>25</v>
      </c>
      <c r="B1" s="43" t="s">
        <v>26</v>
      </c>
      <c r="C1" s="44"/>
      <c r="D1" s="45" t="s">
        <v>27</v>
      </c>
      <c r="E1" s="45" t="str">
        <f>'Promo Info'!C1</f>
        <v>#REF!</v>
      </c>
      <c r="F1" s="46"/>
      <c r="G1" s="46"/>
      <c r="H1" s="47"/>
    </row>
    <row r="2" ht="30.0" customHeight="1">
      <c r="A2" s="48" t="s">
        <v>28</v>
      </c>
      <c r="B2" s="49" t="s">
        <v>29</v>
      </c>
      <c r="C2" s="50"/>
      <c r="D2" s="51"/>
      <c r="E2" s="52"/>
      <c r="F2" s="52"/>
      <c r="G2" s="52"/>
      <c r="H2" s="53"/>
    </row>
    <row r="3" ht="30.0" customHeight="1">
      <c r="A3" s="48" t="s">
        <v>30</v>
      </c>
      <c r="B3" s="54" t="s">
        <v>31</v>
      </c>
      <c r="C3" s="55"/>
      <c r="D3" s="51" t="s">
        <v>32</v>
      </c>
      <c r="E3" s="52" t="str">
        <f>'Promo Info'!F2</f>
        <v>#REF!</v>
      </c>
      <c r="F3" s="52" t="str">
        <f>TEXT('Promo Info'!C2,"mm/dd")</f>
        <v>#REF!</v>
      </c>
      <c r="G3" s="52" t="str">
        <f>TEXT('Promo Info'!C3,"mm/dd")</f>
        <v>#REF!</v>
      </c>
      <c r="H3" s="53"/>
    </row>
    <row r="4" ht="30.0" customHeight="1">
      <c r="A4" s="48" t="s">
        <v>28</v>
      </c>
      <c r="B4" s="49" t="s">
        <v>33</v>
      </c>
      <c r="C4" s="50"/>
      <c r="D4" s="52"/>
      <c r="E4" s="52"/>
      <c r="F4" s="52"/>
      <c r="G4" s="52"/>
      <c r="H4" s="53"/>
    </row>
    <row r="5" ht="30.0" customHeight="1">
      <c r="A5" s="48" t="s">
        <v>30</v>
      </c>
      <c r="B5" s="54" t="s">
        <v>34</v>
      </c>
      <c r="C5" s="50"/>
      <c r="D5" s="51" t="s">
        <v>35</v>
      </c>
      <c r="E5" s="52" t="str">
        <f>'Promo Info'!L5</f>
        <v>#REF!</v>
      </c>
      <c r="F5" s="52"/>
      <c r="G5" s="52"/>
      <c r="H5" s="53"/>
    </row>
    <row r="6" ht="30.0" customHeight="1">
      <c r="A6" s="48" t="s">
        <v>30</v>
      </c>
      <c r="B6" s="54" t="s">
        <v>36</v>
      </c>
      <c r="C6" s="55"/>
      <c r="D6" s="52"/>
      <c r="E6" s="51">
        <v>250.0</v>
      </c>
      <c r="F6" s="52"/>
      <c r="G6" s="52"/>
      <c r="H6" s="53"/>
    </row>
    <row r="7" ht="30.0" customHeight="1">
      <c r="A7" s="48" t="s">
        <v>30</v>
      </c>
      <c r="B7" s="54" t="s">
        <v>37</v>
      </c>
      <c r="C7" s="55"/>
      <c r="D7" s="53"/>
      <c r="E7" s="53"/>
      <c r="F7" s="53"/>
      <c r="G7" s="53"/>
      <c r="H7" s="53"/>
    </row>
    <row r="8" ht="30.0" customHeight="1">
      <c r="A8" s="48" t="s">
        <v>28</v>
      </c>
      <c r="B8" s="49" t="s">
        <v>38</v>
      </c>
      <c r="C8" s="55"/>
      <c r="D8" s="53"/>
      <c r="E8" s="53"/>
      <c r="F8" s="53"/>
      <c r="G8" s="53"/>
      <c r="H8" s="53"/>
    </row>
    <row r="9" ht="30.0" hidden="1" customHeight="1">
      <c r="A9" s="48" t="s">
        <v>30</v>
      </c>
      <c r="B9" s="54"/>
      <c r="C9" s="55"/>
      <c r="D9" s="53"/>
      <c r="E9" s="53"/>
      <c r="F9" s="53"/>
      <c r="G9" s="53"/>
      <c r="H9" s="53"/>
    </row>
    <row r="10" ht="30.0" hidden="1" customHeight="1">
      <c r="A10" s="48"/>
      <c r="B10" s="56"/>
      <c r="C10" s="55"/>
      <c r="D10" s="53"/>
      <c r="E10" s="53"/>
      <c r="F10" s="53"/>
      <c r="G10" s="53"/>
      <c r="H10" s="53"/>
    </row>
    <row r="11" ht="30.0" hidden="1" customHeight="1">
      <c r="A11" s="48"/>
      <c r="B11" s="54"/>
      <c r="C11" s="55"/>
      <c r="D11" s="53"/>
      <c r="E11" s="53"/>
      <c r="F11" s="53"/>
      <c r="G11" s="53"/>
      <c r="H11" s="53"/>
    </row>
    <row r="12" ht="30.0" hidden="1" customHeight="1">
      <c r="A12" s="48" t="s">
        <v>30</v>
      </c>
      <c r="B12" s="54"/>
      <c r="C12" s="55"/>
      <c r="D12" s="53"/>
      <c r="E12" s="53"/>
      <c r="F12" s="53"/>
      <c r="G12" s="53"/>
      <c r="H12" s="53"/>
    </row>
    <row r="13" ht="30.0" hidden="1" customHeight="1">
      <c r="A13" s="48"/>
      <c r="B13" s="54"/>
      <c r="C13" s="55"/>
      <c r="D13" s="53"/>
      <c r="E13" s="53"/>
      <c r="F13" s="53"/>
      <c r="G13" s="53"/>
      <c r="H13" s="53"/>
    </row>
    <row r="14" ht="30.0" hidden="1" customHeight="1">
      <c r="A14" s="48"/>
      <c r="B14" s="54"/>
      <c r="C14" s="55"/>
      <c r="D14" s="53"/>
      <c r="E14" s="53"/>
      <c r="F14" s="53"/>
      <c r="G14" s="53"/>
      <c r="H14" s="53"/>
    </row>
    <row r="15" ht="30.0" hidden="1" customHeight="1">
      <c r="A15" s="48" t="s">
        <v>28</v>
      </c>
      <c r="B15" s="49"/>
      <c r="C15" s="50"/>
      <c r="D15" s="53"/>
      <c r="E15" s="53"/>
      <c r="F15" s="53"/>
      <c r="G15" s="53"/>
      <c r="H15" s="53"/>
    </row>
    <row r="16" ht="30.0" hidden="1" customHeight="1">
      <c r="A16" s="48" t="s">
        <v>30</v>
      </c>
      <c r="B16" s="57"/>
      <c r="C16" s="55"/>
      <c r="D16" s="53"/>
      <c r="E16" s="53"/>
      <c r="F16" s="53"/>
      <c r="G16" s="53"/>
      <c r="H16" s="53"/>
    </row>
    <row r="17" ht="30.0" hidden="1" customHeight="1">
      <c r="A17" s="58" t="s">
        <v>30</v>
      </c>
      <c r="B17" s="54"/>
      <c r="C17" s="59"/>
      <c r="D17" s="60"/>
      <c r="E17" s="60"/>
      <c r="F17" s="60"/>
      <c r="G17" s="60"/>
      <c r="H17" s="60"/>
    </row>
    <row r="18" ht="30.0" hidden="1" customHeight="1">
      <c r="A18" s="58"/>
      <c r="B18" s="54"/>
      <c r="C18" s="59"/>
      <c r="D18" s="60"/>
      <c r="E18" s="60"/>
      <c r="F18" s="60"/>
      <c r="G18" s="60"/>
      <c r="H18" s="60"/>
    </row>
    <row r="19" ht="30.0" hidden="1" customHeight="1">
      <c r="A19" s="58"/>
      <c r="B19" s="54"/>
      <c r="C19" s="59"/>
      <c r="D19" s="60"/>
      <c r="E19" s="60"/>
      <c r="F19" s="60"/>
      <c r="G19" s="60"/>
      <c r="H19" s="60"/>
    </row>
    <row r="20" ht="30.0" hidden="1" customHeight="1">
      <c r="A20" s="58"/>
      <c r="B20" s="54"/>
      <c r="C20" s="59"/>
      <c r="D20" s="60"/>
      <c r="E20" s="60"/>
      <c r="F20" s="60"/>
      <c r="G20" s="60"/>
      <c r="H20" s="60"/>
    </row>
    <row r="21" ht="30.0" hidden="1" customHeight="1">
      <c r="A21" s="58"/>
      <c r="B21" s="54"/>
      <c r="C21" s="59"/>
      <c r="D21" s="60"/>
      <c r="E21" s="60"/>
      <c r="F21" s="60"/>
      <c r="G21" s="60"/>
      <c r="H21" s="60"/>
    </row>
    <row r="22" ht="30.0" hidden="1" customHeight="1">
      <c r="A22" s="58"/>
      <c r="B22" s="54"/>
      <c r="C22" s="59"/>
      <c r="D22" s="60"/>
      <c r="E22" s="60"/>
      <c r="F22" s="60"/>
      <c r="G22" s="60"/>
      <c r="H22" s="60"/>
    </row>
    <row r="23" ht="30.0" hidden="1" customHeight="1">
      <c r="A23" s="58"/>
      <c r="B23" s="54"/>
      <c r="C23" s="59"/>
      <c r="D23" s="60"/>
      <c r="E23" s="60"/>
      <c r="F23" s="60"/>
      <c r="G23" s="60"/>
      <c r="H23" s="60"/>
    </row>
    <row r="24" ht="30.0" hidden="1" customHeight="1">
      <c r="A24" s="58"/>
      <c r="B24" s="54"/>
      <c r="C24" s="59"/>
      <c r="D24" s="60"/>
      <c r="E24" s="60"/>
      <c r="F24" s="60"/>
      <c r="G24" s="60"/>
      <c r="H24" s="60"/>
    </row>
    <row r="25" ht="30.0" hidden="1" customHeight="1">
      <c r="A25" s="61"/>
      <c r="B25" s="62"/>
      <c r="C25" s="63"/>
      <c r="D25" s="64"/>
      <c r="E25" s="64"/>
      <c r="F25" s="64"/>
      <c r="G25" s="64"/>
      <c r="H25" s="6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3.88"/>
    <col customWidth="1" hidden="1" min="10" max="10" width="3.88"/>
    <col hidden="1" min="11" max="18" width="12.63"/>
    <col customWidth="1" min="19" max="19" width="3.88"/>
  </cols>
  <sheetData>
    <row r="1" ht="45.0" customHeight="1">
      <c r="A1" s="65"/>
      <c r="B1" s="66" t="s">
        <v>39</v>
      </c>
      <c r="E1" s="67" t="s">
        <v>40</v>
      </c>
      <c r="F1" s="68">
        <f>sum(K40:Q40,L45:P45,K52:R52,L57:Q57,M64:P64,R33)</f>
        <v>3605.749541</v>
      </c>
      <c r="G1" s="69" t="s">
        <v>41</v>
      </c>
      <c r="H1" s="70">
        <f>sum(O61,P49,P37)-sum(O28,P16,P4)</f>
        <v>130500</v>
      </c>
      <c r="I1" s="71" t="s">
        <v>42</v>
      </c>
      <c r="J1" s="72"/>
      <c r="K1" s="53"/>
      <c r="L1" s="53"/>
      <c r="M1" s="53"/>
      <c r="N1" s="53"/>
      <c r="O1" s="53"/>
      <c r="P1" s="53"/>
      <c r="Q1" s="53"/>
      <c r="R1" s="53"/>
      <c r="S1" s="65"/>
    </row>
    <row r="2" ht="22.5" customHeight="1">
      <c r="A2" s="73"/>
      <c r="B2" s="74" t="s">
        <v>43</v>
      </c>
      <c r="E2" s="75" t="s">
        <v>44</v>
      </c>
      <c r="F2" s="76">
        <v>3600.0</v>
      </c>
      <c r="G2" s="74"/>
      <c r="H2" s="74"/>
      <c r="I2" s="77"/>
      <c r="J2" s="78"/>
      <c r="K2" s="79"/>
      <c r="L2" s="79"/>
      <c r="M2" s="79"/>
      <c r="N2" s="79"/>
      <c r="O2" s="79"/>
      <c r="P2" s="80"/>
      <c r="Q2" s="60"/>
      <c r="R2" s="60"/>
      <c r="S2" s="73"/>
    </row>
    <row r="3" ht="22.5" customHeight="1" outlineLevel="1">
      <c r="A3" s="73"/>
      <c r="B3" s="81" t="s">
        <v>45</v>
      </c>
      <c r="E3" s="82" t="s">
        <v>46</v>
      </c>
      <c r="F3" s="83">
        <f>SUM(B7:H7,C12:G12,B19:I19,C24:H24,D31:G31)</f>
        <v>3470.3</v>
      </c>
      <c r="G3" s="81"/>
      <c r="H3" s="81"/>
      <c r="I3" s="81"/>
      <c r="J3" s="78"/>
      <c r="K3" s="79" t="s">
        <v>47</v>
      </c>
      <c r="L3" s="79" t="s">
        <v>48</v>
      </c>
      <c r="M3" s="79" t="s">
        <v>49</v>
      </c>
      <c r="N3" s="79" t="s">
        <v>50</v>
      </c>
      <c r="O3" s="79" t="s">
        <v>51</v>
      </c>
      <c r="P3" s="80" t="s">
        <v>52</v>
      </c>
      <c r="Q3" s="60"/>
      <c r="R3" s="60"/>
      <c r="S3" s="73"/>
    </row>
    <row r="4" ht="22.5" customHeight="1" outlineLevel="1">
      <c r="A4" s="73"/>
      <c r="B4" s="74" t="s">
        <v>53</v>
      </c>
      <c r="C4" s="84" t="s">
        <v>54</v>
      </c>
      <c r="D4" s="85">
        <v>21.0</v>
      </c>
      <c r="E4" s="74"/>
      <c r="F4" s="74"/>
      <c r="G4" s="74"/>
      <c r="H4" s="74"/>
      <c r="I4" s="77"/>
      <c r="J4" s="78"/>
      <c r="K4" s="79">
        <f>vlookup($D$4,'Boost Data'!$A$1:$F$52,2,0)</f>
        <v>9</v>
      </c>
      <c r="L4" s="79">
        <f>vlookup($D$4,'Boost Data'!$A$1:$F$52,3,0)</f>
        <v>9</v>
      </c>
      <c r="M4" s="79">
        <f>vlookup($D$4,'Boost Data'!$A$1:$F$52,4,0)</f>
        <v>9</v>
      </c>
      <c r="N4" s="79">
        <f>vlookup($D$4,'Boost Data'!$A$1:$F$52,5,0)</f>
        <v>9</v>
      </c>
      <c r="O4" s="79">
        <f>vlookup($D$4,'Boost Data'!$A$1:$F$52,6,0)</f>
        <v>9</v>
      </c>
      <c r="P4" s="86">
        <f>VLOOKUP(D4,'Boost Data'!$A$1:$G$52,7,0)</f>
        <v>16660</v>
      </c>
      <c r="Q4" s="60"/>
      <c r="R4" s="60"/>
      <c r="S4" s="73"/>
    </row>
    <row r="5" ht="22.5" customHeight="1" outlineLevel="1">
      <c r="A5" s="73"/>
      <c r="B5" s="60"/>
      <c r="C5" s="60"/>
      <c r="D5" s="60"/>
      <c r="E5" s="60"/>
      <c r="F5" s="60"/>
      <c r="G5" s="60"/>
      <c r="H5" s="60"/>
      <c r="I5" s="60"/>
      <c r="J5" s="78"/>
      <c r="K5" s="87">
        <f t="shared" ref="K5:Q5" si="1">hlookup(K6,$K3:$O4,2,0)/100</f>
        <v>0.09</v>
      </c>
      <c r="L5" s="87">
        <f t="shared" si="1"/>
        <v>0.09</v>
      </c>
      <c r="M5" s="87">
        <f t="shared" si="1"/>
        <v>0.09</v>
      </c>
      <c r="N5" s="87">
        <f t="shared" si="1"/>
        <v>0.09</v>
      </c>
      <c r="O5" s="87">
        <f t="shared" si="1"/>
        <v>0.09</v>
      </c>
      <c r="P5" s="87">
        <f t="shared" si="1"/>
        <v>0.09</v>
      </c>
      <c r="Q5" s="87">
        <f t="shared" si="1"/>
        <v>0.09</v>
      </c>
      <c r="R5" s="60"/>
      <c r="S5" s="73"/>
    </row>
    <row r="6" ht="22.5" customHeight="1" outlineLevel="1">
      <c r="A6" s="73"/>
      <c r="B6" s="88" t="s">
        <v>55</v>
      </c>
      <c r="C6" s="89" t="s">
        <v>56</v>
      </c>
      <c r="D6" s="88" t="s">
        <v>57</v>
      </c>
      <c r="E6" s="89" t="s">
        <v>58</v>
      </c>
      <c r="F6" s="88" t="s">
        <v>59</v>
      </c>
      <c r="G6" s="89" t="s">
        <v>60</v>
      </c>
      <c r="H6" s="88" t="s">
        <v>61</v>
      </c>
      <c r="I6" s="90"/>
      <c r="J6" s="78"/>
      <c r="K6" s="91" t="s">
        <v>50</v>
      </c>
      <c r="L6" s="91" t="s">
        <v>51</v>
      </c>
      <c r="M6" s="91" t="s">
        <v>51</v>
      </c>
      <c r="N6" s="91" t="s">
        <v>51</v>
      </c>
      <c r="O6" s="91" t="s">
        <v>51</v>
      </c>
      <c r="P6" s="91" t="s">
        <v>51</v>
      </c>
      <c r="Q6" s="91" t="s">
        <v>50</v>
      </c>
      <c r="R6" s="60"/>
      <c r="S6" s="73"/>
    </row>
    <row r="7" ht="22.5" customHeight="1" outlineLevel="1">
      <c r="A7" s="73"/>
      <c r="B7" s="92">
        <v>141.0</v>
      </c>
      <c r="C7" s="93">
        <v>99.0</v>
      </c>
      <c r="D7" s="92">
        <v>106.0</v>
      </c>
      <c r="E7" s="93">
        <v>106.0</v>
      </c>
      <c r="F7" s="92">
        <v>127.0</v>
      </c>
      <c r="G7" s="93">
        <v>140.0</v>
      </c>
      <c r="H7" s="92">
        <v>121.0</v>
      </c>
      <c r="I7" s="90"/>
      <c r="J7" s="78"/>
      <c r="K7" s="94">
        <f t="shared" ref="K7:Q7" si="2">(B7-K8-K9)/(1+K5)</f>
        <v>124.7706422</v>
      </c>
      <c r="L7" s="94">
        <f t="shared" si="2"/>
        <v>90.82568807</v>
      </c>
      <c r="M7" s="94">
        <f t="shared" si="2"/>
        <v>97.24770642</v>
      </c>
      <c r="N7" s="94">
        <f t="shared" si="2"/>
        <v>97.24770642</v>
      </c>
      <c r="O7" s="94">
        <f t="shared" si="2"/>
        <v>116.5137615</v>
      </c>
      <c r="P7" s="94">
        <f t="shared" si="2"/>
        <v>123.853211</v>
      </c>
      <c r="Q7" s="94">
        <f t="shared" si="2"/>
        <v>111.0091743</v>
      </c>
      <c r="R7" s="60"/>
      <c r="S7" s="73"/>
    </row>
    <row r="8" ht="22.5" customHeight="1" outlineLevel="1">
      <c r="A8" s="73"/>
      <c r="B8" s="95" t="s">
        <v>62</v>
      </c>
      <c r="C8" s="96"/>
      <c r="D8" s="95"/>
      <c r="E8" s="96"/>
      <c r="F8" s="95"/>
      <c r="G8" s="96" t="s">
        <v>62</v>
      </c>
      <c r="H8" s="95"/>
      <c r="I8" s="90"/>
      <c r="J8" s="78"/>
      <c r="K8" s="91">
        <f t="shared" ref="K8:Q8" si="3">if(ISBLANK(B8)=FALSE,$P$28,0)</f>
        <v>5</v>
      </c>
      <c r="L8" s="91">
        <f t="shared" si="3"/>
        <v>0</v>
      </c>
      <c r="M8" s="91">
        <f t="shared" si="3"/>
        <v>0</v>
      </c>
      <c r="N8" s="91">
        <f t="shared" si="3"/>
        <v>0</v>
      </c>
      <c r="O8" s="91">
        <f t="shared" si="3"/>
        <v>0</v>
      </c>
      <c r="P8" s="91">
        <f t="shared" si="3"/>
        <v>5</v>
      </c>
      <c r="Q8" s="91">
        <f t="shared" si="3"/>
        <v>0</v>
      </c>
      <c r="R8" s="60"/>
      <c r="S8" s="73"/>
    </row>
    <row r="9" ht="22.5" customHeight="1" outlineLevel="1">
      <c r="A9" s="73"/>
      <c r="B9" s="97"/>
      <c r="C9" s="98"/>
      <c r="D9" s="97"/>
      <c r="E9" s="98"/>
      <c r="F9" s="97"/>
      <c r="G9" s="98"/>
      <c r="H9" s="97"/>
      <c r="I9" s="90"/>
      <c r="J9" s="78"/>
      <c r="K9" s="91">
        <f t="shared" ref="K9:Q9" si="4">if(B9="2 from Dual",2,0)+if(B9="1 from Dual",1,0)</f>
        <v>0</v>
      </c>
      <c r="L9" s="91">
        <f t="shared" si="4"/>
        <v>0</v>
      </c>
      <c r="M9" s="91">
        <f t="shared" si="4"/>
        <v>0</v>
      </c>
      <c r="N9" s="91">
        <f t="shared" si="4"/>
        <v>0</v>
      </c>
      <c r="O9" s="91">
        <f t="shared" si="4"/>
        <v>0</v>
      </c>
      <c r="P9" s="91">
        <f t="shared" si="4"/>
        <v>0</v>
      </c>
      <c r="Q9" s="91">
        <f t="shared" si="4"/>
        <v>0</v>
      </c>
      <c r="R9" s="60"/>
      <c r="S9" s="73"/>
    </row>
    <row r="10" ht="22.5" customHeight="1" outlineLevel="1">
      <c r="A10" s="73"/>
      <c r="B10" s="60"/>
      <c r="C10" s="60"/>
      <c r="D10" s="60"/>
      <c r="E10" s="60"/>
      <c r="F10" s="60"/>
      <c r="G10" s="60"/>
      <c r="H10" s="60"/>
      <c r="I10" s="60"/>
      <c r="J10" s="78"/>
      <c r="K10" s="99"/>
      <c r="L10" s="87">
        <f t="shared" ref="L10:P10" si="5">hlookup(L11,$K$3:$O$4,2,0)/100</f>
        <v>0.09</v>
      </c>
      <c r="M10" s="87">
        <f t="shared" si="5"/>
        <v>0.09</v>
      </c>
      <c r="N10" s="87">
        <f t="shared" si="5"/>
        <v>0.09</v>
      </c>
      <c r="O10" s="87">
        <f t="shared" si="5"/>
        <v>0.09</v>
      </c>
      <c r="P10" s="87">
        <f t="shared" si="5"/>
        <v>0.09</v>
      </c>
      <c r="Q10" s="99"/>
      <c r="R10" s="60"/>
      <c r="S10" s="73"/>
    </row>
    <row r="11" ht="22.5" customHeight="1" outlineLevel="1">
      <c r="A11" s="73"/>
      <c r="B11" s="100"/>
      <c r="C11" s="88" t="s">
        <v>50</v>
      </c>
      <c r="D11" s="89" t="s">
        <v>63</v>
      </c>
      <c r="E11" s="88" t="s">
        <v>47</v>
      </c>
      <c r="F11" s="89" t="s">
        <v>48</v>
      </c>
      <c r="G11" s="88" t="s">
        <v>49</v>
      </c>
      <c r="H11" s="90"/>
      <c r="I11" s="90"/>
      <c r="J11" s="78"/>
      <c r="K11" s="100"/>
      <c r="L11" s="91" t="str">
        <f>C11</f>
        <v>WR</v>
      </c>
      <c r="M11" s="101" t="s">
        <v>48</v>
      </c>
      <c r="N11" s="91" t="s">
        <v>47</v>
      </c>
      <c r="O11" s="101" t="s">
        <v>48</v>
      </c>
      <c r="P11" s="91" t="s">
        <v>49</v>
      </c>
      <c r="Q11" s="90"/>
      <c r="R11" s="102"/>
      <c r="S11" s="73"/>
    </row>
    <row r="12" ht="22.5" customHeight="1" outlineLevel="1">
      <c r="A12" s="73"/>
      <c r="B12" s="90"/>
      <c r="C12" s="92">
        <v>120.0</v>
      </c>
      <c r="D12" s="93">
        <v>119.0</v>
      </c>
      <c r="E12" s="92">
        <v>118.0</v>
      </c>
      <c r="F12" s="93">
        <v>119.0</v>
      </c>
      <c r="G12" s="92">
        <v>129.0</v>
      </c>
      <c r="H12" s="90"/>
      <c r="I12" s="90"/>
      <c r="J12" s="78"/>
      <c r="K12" s="90"/>
      <c r="L12" s="94">
        <f t="shared" ref="L12:P12" si="6">(C12-L13-L14)/(1+L10)</f>
        <v>110.0917431</v>
      </c>
      <c r="M12" s="94">
        <f t="shared" si="6"/>
        <v>109.1743119</v>
      </c>
      <c r="N12" s="94">
        <f t="shared" si="6"/>
        <v>108.2568807</v>
      </c>
      <c r="O12" s="94">
        <f t="shared" si="6"/>
        <v>109.1743119</v>
      </c>
      <c r="P12" s="94">
        <f t="shared" si="6"/>
        <v>118.3486239</v>
      </c>
      <c r="Q12" s="90"/>
      <c r="R12" s="102"/>
      <c r="S12" s="73"/>
    </row>
    <row r="13" ht="22.5" customHeight="1" outlineLevel="1">
      <c r="A13" s="73"/>
      <c r="B13" s="100"/>
      <c r="C13" s="95"/>
      <c r="D13" s="96"/>
      <c r="E13" s="95"/>
      <c r="F13" s="96"/>
      <c r="G13" s="95"/>
      <c r="H13" s="90"/>
      <c r="I13" s="90"/>
      <c r="J13" s="78"/>
      <c r="K13" s="100"/>
      <c r="L13" s="91">
        <f t="shared" ref="L13:P13" si="7">if(ISBLANK(C13)=FALSE,$P$28,0)</f>
        <v>0</v>
      </c>
      <c r="M13" s="91">
        <f t="shared" si="7"/>
        <v>0</v>
      </c>
      <c r="N13" s="91">
        <f t="shared" si="7"/>
        <v>0</v>
      </c>
      <c r="O13" s="91">
        <f t="shared" si="7"/>
        <v>0</v>
      </c>
      <c r="P13" s="91">
        <f t="shared" si="7"/>
        <v>0</v>
      </c>
      <c r="Q13" s="90"/>
      <c r="R13" s="60"/>
      <c r="S13" s="73"/>
    </row>
    <row r="14" ht="22.5" customHeight="1" outlineLevel="1">
      <c r="A14" s="73"/>
      <c r="B14" s="100"/>
      <c r="C14" s="97"/>
      <c r="D14" s="98"/>
      <c r="E14" s="97"/>
      <c r="F14" s="98"/>
      <c r="G14" s="97"/>
      <c r="H14" s="90"/>
      <c r="I14" s="90"/>
      <c r="J14" s="78"/>
      <c r="K14" s="100"/>
      <c r="L14" s="91">
        <f t="shared" ref="L14:P14" si="8">if(C14="2 from Dual",2,0)+if(C14="1 from Dual",1,0)</f>
        <v>0</v>
      </c>
      <c r="M14" s="91">
        <f t="shared" si="8"/>
        <v>0</v>
      </c>
      <c r="N14" s="91">
        <f t="shared" si="8"/>
        <v>0</v>
      </c>
      <c r="O14" s="91">
        <f t="shared" si="8"/>
        <v>0</v>
      </c>
      <c r="P14" s="91">
        <f t="shared" si="8"/>
        <v>0</v>
      </c>
      <c r="Q14" s="90"/>
      <c r="R14" s="60"/>
      <c r="S14" s="73"/>
    </row>
    <row r="15" ht="22.5" customHeight="1" outlineLevel="1">
      <c r="A15" s="73"/>
      <c r="B15" s="60"/>
      <c r="C15" s="60"/>
      <c r="D15" s="60"/>
      <c r="E15" s="60"/>
      <c r="F15" s="60"/>
      <c r="G15" s="60"/>
      <c r="H15" s="60"/>
      <c r="I15" s="60"/>
      <c r="J15" s="78"/>
      <c r="K15" s="79" t="s">
        <v>64</v>
      </c>
      <c r="L15" s="79" t="s">
        <v>65</v>
      </c>
      <c r="M15" s="79" t="s">
        <v>4</v>
      </c>
      <c r="N15" s="79" t="s">
        <v>66</v>
      </c>
      <c r="O15" s="79" t="s">
        <v>67</v>
      </c>
      <c r="P15" s="80" t="s">
        <v>52</v>
      </c>
      <c r="Q15" s="60"/>
      <c r="R15" s="60"/>
      <c r="S15" s="73"/>
    </row>
    <row r="16" ht="22.5" customHeight="1" outlineLevel="1">
      <c r="A16" s="73"/>
      <c r="B16" s="74" t="s">
        <v>68</v>
      </c>
      <c r="C16" s="84" t="s">
        <v>54</v>
      </c>
      <c r="D16" s="85">
        <v>21.0</v>
      </c>
      <c r="E16" s="74"/>
      <c r="F16" s="74"/>
      <c r="G16" s="74"/>
      <c r="H16" s="74"/>
      <c r="I16" s="74"/>
      <c r="J16" s="78"/>
      <c r="K16" s="79">
        <f>vlookup($D$16,'Boost Data'!$J$1:$O$52,2,0)</f>
        <v>9</v>
      </c>
      <c r="L16" s="79">
        <f>vlookup($D$16,'Boost Data'!$J$1:$O$52,2,0)</f>
        <v>9</v>
      </c>
      <c r="M16" s="79">
        <f>vlookup($D$16,'Boost Data'!$J$1:$O$52,2,0)</f>
        <v>9</v>
      </c>
      <c r="N16" s="79">
        <f>vlookup($D$16,'Boost Data'!$J$1:$O$52,2,0)</f>
        <v>9</v>
      </c>
      <c r="O16" s="79">
        <f>vlookup($D$16,'Boost Data'!$J$1:$O$52,2,0)</f>
        <v>9</v>
      </c>
      <c r="P16" s="86">
        <f>VLOOKUP(D16,'Boost Data'!$J$1:$P$52,7,0)</f>
        <v>17550</v>
      </c>
      <c r="Q16" s="60"/>
      <c r="R16" s="60"/>
      <c r="S16" s="73"/>
    </row>
    <row r="17" ht="22.5" customHeight="1" outlineLevel="1">
      <c r="A17" s="73"/>
      <c r="B17" s="60"/>
      <c r="C17" s="60"/>
      <c r="D17" s="60"/>
      <c r="E17" s="60"/>
      <c r="F17" s="60"/>
      <c r="G17" s="60"/>
      <c r="H17" s="60"/>
      <c r="I17" s="60"/>
      <c r="J17" s="78"/>
      <c r="K17" s="87">
        <f t="shared" ref="K17:R17" si="9">hlookup(K18,$K$15:$O$16,2,0)/100</f>
        <v>0.09</v>
      </c>
      <c r="L17" s="87">
        <f t="shared" si="9"/>
        <v>0.09</v>
      </c>
      <c r="M17" s="87">
        <f t="shared" si="9"/>
        <v>0.09</v>
      </c>
      <c r="N17" s="87">
        <f t="shared" si="9"/>
        <v>0.09</v>
      </c>
      <c r="O17" s="87">
        <f t="shared" si="9"/>
        <v>0.09</v>
      </c>
      <c r="P17" s="87">
        <f t="shared" si="9"/>
        <v>0.09</v>
      </c>
      <c r="Q17" s="87">
        <f t="shared" si="9"/>
        <v>0.09</v>
      </c>
      <c r="R17" s="87">
        <f t="shared" si="9"/>
        <v>0.09</v>
      </c>
      <c r="S17" s="73"/>
    </row>
    <row r="18" ht="22.5" customHeight="1" outlineLevel="1">
      <c r="A18" s="73"/>
      <c r="B18" s="88" t="s">
        <v>69</v>
      </c>
      <c r="C18" s="89" t="s">
        <v>70</v>
      </c>
      <c r="D18" s="88" t="s">
        <v>71</v>
      </c>
      <c r="E18" s="89" t="s">
        <v>72</v>
      </c>
      <c r="F18" s="88" t="s">
        <v>72</v>
      </c>
      <c r="G18" s="89" t="s">
        <v>73</v>
      </c>
      <c r="H18" s="88" t="s">
        <v>74</v>
      </c>
      <c r="I18" s="89" t="s">
        <v>75</v>
      </c>
      <c r="J18" s="78"/>
      <c r="K18" s="91" t="s">
        <v>65</v>
      </c>
      <c r="L18" s="91" t="s">
        <v>4</v>
      </c>
      <c r="M18" s="101" t="s">
        <v>64</v>
      </c>
      <c r="N18" s="101" t="s">
        <v>64</v>
      </c>
      <c r="O18" s="101" t="s">
        <v>64</v>
      </c>
      <c r="P18" s="101" t="s">
        <v>64</v>
      </c>
      <c r="Q18" s="91" t="s">
        <v>4</v>
      </c>
      <c r="R18" s="91" t="s">
        <v>65</v>
      </c>
      <c r="S18" s="73"/>
    </row>
    <row r="19" ht="22.5" customHeight="1" outlineLevel="1">
      <c r="A19" s="73"/>
      <c r="B19" s="92">
        <v>116.0</v>
      </c>
      <c r="C19" s="93">
        <v>138.0</v>
      </c>
      <c r="D19" s="92">
        <v>103.0</v>
      </c>
      <c r="E19" s="93">
        <v>116.0</v>
      </c>
      <c r="F19" s="92">
        <v>103.0</v>
      </c>
      <c r="G19" s="93">
        <v>103.0</v>
      </c>
      <c r="H19" s="92">
        <v>116.0</v>
      </c>
      <c r="I19" s="93">
        <v>116.0</v>
      </c>
      <c r="J19" s="78"/>
      <c r="K19" s="94">
        <f t="shared" ref="K19:R19" si="10">(B19-K20-K21)/(1+K17)</f>
        <v>106.4220183</v>
      </c>
      <c r="L19" s="94">
        <f t="shared" si="10"/>
        <v>122.0183486</v>
      </c>
      <c r="M19" s="94">
        <f t="shared" si="10"/>
        <v>94.49541284</v>
      </c>
      <c r="N19" s="94">
        <f t="shared" si="10"/>
        <v>106.4220183</v>
      </c>
      <c r="O19" s="94">
        <f t="shared" si="10"/>
        <v>94.49541284</v>
      </c>
      <c r="P19" s="94">
        <f t="shared" si="10"/>
        <v>94.49541284</v>
      </c>
      <c r="Q19" s="94">
        <f t="shared" si="10"/>
        <v>106.4220183</v>
      </c>
      <c r="R19" s="94">
        <f t="shared" si="10"/>
        <v>106.4220183</v>
      </c>
      <c r="S19" s="73"/>
    </row>
    <row r="20" ht="22.5" customHeight="1" outlineLevel="1">
      <c r="A20" s="73"/>
      <c r="B20" s="95"/>
      <c r="C20" s="96" t="s">
        <v>62</v>
      </c>
      <c r="D20" s="95"/>
      <c r="E20" s="96"/>
      <c r="F20" s="95"/>
      <c r="G20" s="96"/>
      <c r="H20" s="95"/>
      <c r="I20" s="96"/>
      <c r="J20" s="78"/>
      <c r="K20" s="91">
        <f t="shared" ref="K20:R20" si="11">if(ISBLANK(B20)=FALSE,$P$28,0)</f>
        <v>0</v>
      </c>
      <c r="L20" s="91">
        <f t="shared" si="11"/>
        <v>5</v>
      </c>
      <c r="M20" s="91">
        <f t="shared" si="11"/>
        <v>0</v>
      </c>
      <c r="N20" s="91">
        <f t="shared" si="11"/>
        <v>0</v>
      </c>
      <c r="O20" s="91">
        <f t="shared" si="11"/>
        <v>0</v>
      </c>
      <c r="P20" s="91">
        <f t="shared" si="11"/>
        <v>0</v>
      </c>
      <c r="Q20" s="91">
        <f t="shared" si="11"/>
        <v>0</v>
      </c>
      <c r="R20" s="91">
        <f t="shared" si="11"/>
        <v>0</v>
      </c>
      <c r="S20" s="73"/>
    </row>
    <row r="21" ht="22.5" customHeight="1" outlineLevel="1">
      <c r="A21" s="73"/>
      <c r="B21" s="97"/>
      <c r="C21" s="98"/>
      <c r="D21" s="97"/>
      <c r="E21" s="98"/>
      <c r="F21" s="97"/>
      <c r="G21" s="98"/>
      <c r="H21" s="97"/>
      <c r="I21" s="98"/>
      <c r="J21" s="78"/>
      <c r="K21" s="91">
        <f t="shared" ref="K21:R21" si="12">if(B21="2 from Dual",2,0)+if(B21="1 from Dual",1,0)</f>
        <v>0</v>
      </c>
      <c r="L21" s="91">
        <f t="shared" si="12"/>
        <v>0</v>
      </c>
      <c r="M21" s="91">
        <f t="shared" si="12"/>
        <v>0</v>
      </c>
      <c r="N21" s="91">
        <f t="shared" si="12"/>
        <v>0</v>
      </c>
      <c r="O21" s="91">
        <f t="shared" si="12"/>
        <v>0</v>
      </c>
      <c r="P21" s="91">
        <f t="shared" si="12"/>
        <v>0</v>
      </c>
      <c r="Q21" s="91">
        <f t="shared" si="12"/>
        <v>0</v>
      </c>
      <c r="R21" s="91">
        <f t="shared" si="12"/>
        <v>0</v>
      </c>
      <c r="S21" s="73"/>
    </row>
    <row r="22" ht="22.5" customHeight="1" outlineLevel="1">
      <c r="A22" s="73"/>
      <c r="B22" s="60"/>
      <c r="C22" s="60"/>
      <c r="D22" s="60"/>
      <c r="E22" s="60"/>
      <c r="F22" s="60"/>
      <c r="G22" s="60"/>
      <c r="H22" s="60"/>
      <c r="I22" s="60"/>
      <c r="J22" s="78"/>
      <c r="K22" s="99"/>
      <c r="L22" s="87">
        <f t="shared" ref="L22:Q22" si="13">hlookup(L23,$K$15:$O$16,2,0)/100</f>
        <v>0.09</v>
      </c>
      <c r="M22" s="87">
        <f t="shared" si="13"/>
        <v>0.09</v>
      </c>
      <c r="N22" s="87">
        <f t="shared" si="13"/>
        <v>0.09</v>
      </c>
      <c r="O22" s="87">
        <f t="shared" si="13"/>
        <v>0.09</v>
      </c>
      <c r="P22" s="87">
        <f t="shared" si="13"/>
        <v>0.09</v>
      </c>
      <c r="Q22" s="87">
        <f t="shared" si="13"/>
        <v>0.09</v>
      </c>
      <c r="R22" s="99"/>
      <c r="S22" s="73"/>
    </row>
    <row r="23" ht="22.5" customHeight="1" outlineLevel="1">
      <c r="A23" s="73"/>
      <c r="B23" s="60"/>
      <c r="C23" s="88" t="s">
        <v>65</v>
      </c>
      <c r="D23" s="89" t="s">
        <v>67</v>
      </c>
      <c r="E23" s="88" t="s">
        <v>66</v>
      </c>
      <c r="F23" s="89" t="s">
        <v>66</v>
      </c>
      <c r="G23" s="88" t="s">
        <v>67</v>
      </c>
      <c r="H23" s="89" t="s">
        <v>65</v>
      </c>
      <c r="I23" s="60"/>
      <c r="J23" s="78"/>
      <c r="K23" s="100"/>
      <c r="L23" s="91" t="str">
        <f t="shared" ref="L23:Q23" si="14">C23</f>
        <v>CB</v>
      </c>
      <c r="M23" s="91" t="str">
        <f t="shared" si="14"/>
        <v>DE</v>
      </c>
      <c r="N23" s="91" t="str">
        <f t="shared" si="14"/>
        <v>DT</v>
      </c>
      <c r="O23" s="91" t="str">
        <f t="shared" si="14"/>
        <v>DT</v>
      </c>
      <c r="P23" s="91" t="str">
        <f t="shared" si="14"/>
        <v>DE</v>
      </c>
      <c r="Q23" s="91" t="str">
        <f t="shared" si="14"/>
        <v>CB</v>
      </c>
      <c r="R23" s="60"/>
      <c r="S23" s="73"/>
    </row>
    <row r="24" ht="22.5" customHeight="1" outlineLevel="1">
      <c r="A24" s="73"/>
      <c r="B24" s="60"/>
      <c r="C24" s="92">
        <v>102.0</v>
      </c>
      <c r="D24" s="93">
        <v>115.0</v>
      </c>
      <c r="E24" s="92">
        <v>136.0</v>
      </c>
      <c r="F24" s="93">
        <v>115.0</v>
      </c>
      <c r="G24" s="92">
        <v>102.0</v>
      </c>
      <c r="H24" s="93">
        <v>102.0</v>
      </c>
      <c r="I24" s="60"/>
      <c r="J24" s="78"/>
      <c r="K24" s="99"/>
      <c r="L24" s="94">
        <f t="shared" ref="L24:Q24" si="15">(C24-L25-L26)/(1+L22)</f>
        <v>93.57798165</v>
      </c>
      <c r="M24" s="94">
        <f t="shared" si="15"/>
        <v>105.5045872</v>
      </c>
      <c r="N24" s="94">
        <f t="shared" si="15"/>
        <v>120.1834862</v>
      </c>
      <c r="O24" s="94">
        <f t="shared" si="15"/>
        <v>105.5045872</v>
      </c>
      <c r="P24" s="94">
        <f t="shared" si="15"/>
        <v>93.57798165</v>
      </c>
      <c r="Q24" s="94">
        <f t="shared" si="15"/>
        <v>93.57798165</v>
      </c>
      <c r="R24" s="60"/>
      <c r="S24" s="73"/>
    </row>
    <row r="25" ht="22.5" customHeight="1" outlineLevel="1">
      <c r="A25" s="73"/>
      <c r="B25" s="60"/>
      <c r="C25" s="95"/>
      <c r="D25" s="96"/>
      <c r="E25" s="95" t="s">
        <v>62</v>
      </c>
      <c r="F25" s="96"/>
      <c r="G25" s="95"/>
      <c r="H25" s="96"/>
      <c r="I25" s="60"/>
      <c r="J25" s="78"/>
      <c r="K25" s="90"/>
      <c r="L25" s="91">
        <f t="shared" ref="L25:Q25" si="16">if(ISBLANK(C25)=FALSE,$P$28,0)</f>
        <v>0</v>
      </c>
      <c r="M25" s="91">
        <f t="shared" si="16"/>
        <v>0</v>
      </c>
      <c r="N25" s="91">
        <f t="shared" si="16"/>
        <v>5</v>
      </c>
      <c r="O25" s="91">
        <f t="shared" si="16"/>
        <v>0</v>
      </c>
      <c r="P25" s="91">
        <f t="shared" si="16"/>
        <v>0</v>
      </c>
      <c r="Q25" s="91">
        <f t="shared" si="16"/>
        <v>0</v>
      </c>
      <c r="R25" s="60"/>
      <c r="S25" s="73"/>
    </row>
    <row r="26" ht="22.5" customHeight="1" outlineLevel="1">
      <c r="A26" s="73"/>
      <c r="B26" s="60"/>
      <c r="C26" s="97"/>
      <c r="D26" s="98"/>
      <c r="E26" s="97"/>
      <c r="F26" s="98"/>
      <c r="G26" s="97"/>
      <c r="H26" s="98"/>
      <c r="I26" s="60"/>
      <c r="J26" s="78"/>
      <c r="K26" s="90"/>
      <c r="L26" s="91">
        <f t="shared" ref="L26:Q26" si="17">if(C26="2 from Dual",2,0)+if(C26="1 from Dual",1,0)</f>
        <v>0</v>
      </c>
      <c r="M26" s="91">
        <f t="shared" si="17"/>
        <v>0</v>
      </c>
      <c r="N26" s="91">
        <f t="shared" si="17"/>
        <v>0</v>
      </c>
      <c r="O26" s="91">
        <f t="shared" si="17"/>
        <v>0</v>
      </c>
      <c r="P26" s="91">
        <f t="shared" si="17"/>
        <v>0</v>
      </c>
      <c r="Q26" s="91">
        <f t="shared" si="17"/>
        <v>0</v>
      </c>
      <c r="R26" s="60"/>
      <c r="S26" s="73"/>
    </row>
    <row r="27" ht="22.5" customHeight="1" outlineLevel="1">
      <c r="A27" s="73"/>
      <c r="B27" s="60"/>
      <c r="C27" s="60"/>
      <c r="D27" s="60"/>
      <c r="E27" s="60"/>
      <c r="F27" s="60"/>
      <c r="G27" s="60"/>
      <c r="H27" s="60"/>
      <c r="I27" s="60"/>
      <c r="J27" s="78"/>
      <c r="K27" s="103" t="s">
        <v>76</v>
      </c>
      <c r="L27" s="103" t="s">
        <v>77</v>
      </c>
      <c r="M27" s="103" t="s">
        <v>78</v>
      </c>
      <c r="N27" s="103" t="s">
        <v>79</v>
      </c>
      <c r="O27" s="80" t="s">
        <v>52</v>
      </c>
      <c r="P27" s="104" t="s">
        <v>80</v>
      </c>
      <c r="Q27" s="104" t="s">
        <v>81</v>
      </c>
      <c r="R27" s="104" t="s">
        <v>82</v>
      </c>
      <c r="S27" s="73"/>
    </row>
    <row r="28" ht="22.5" customHeight="1" outlineLevel="1">
      <c r="A28" s="73"/>
      <c r="B28" s="74" t="s">
        <v>83</v>
      </c>
      <c r="C28" s="84" t="s">
        <v>54</v>
      </c>
      <c r="D28" s="85">
        <v>31.0</v>
      </c>
      <c r="E28" s="74"/>
      <c r="F28" s="74"/>
      <c r="G28" s="74"/>
      <c r="H28" s="74"/>
      <c r="I28" s="74"/>
      <c r="J28" s="78"/>
      <c r="K28" s="79">
        <f>vlookup($D$28,'Boost Data'!$S$1:$W$52,2,0)</f>
        <v>13</v>
      </c>
      <c r="L28" s="79">
        <f>vlookup($D$28,'Boost Data'!$S$1:$W$52,2,0)</f>
        <v>13</v>
      </c>
      <c r="M28" s="79">
        <f>vlookup($D$28,'Boost Data'!$S$1:$W$52,2,0)</f>
        <v>13</v>
      </c>
      <c r="N28" s="79">
        <f>vlookup($D$28,'Boost Data'!$S$1:$W$52,2,0)</f>
        <v>13</v>
      </c>
      <c r="O28" s="86">
        <f>VLOOKUP(D28,'Boost Data'!$S$1:$X$52,6,0)</f>
        <v>15820</v>
      </c>
      <c r="P28" s="105">
        <f>Countif($B$3:$I$33, "Mythic +1")</f>
        <v>5</v>
      </c>
      <c r="Q28" s="105"/>
      <c r="R28" s="105"/>
      <c r="S28" s="73"/>
    </row>
    <row r="29" ht="22.5" customHeight="1" outlineLevel="1">
      <c r="A29" s="73"/>
      <c r="B29" s="60"/>
      <c r="C29" s="60"/>
      <c r="D29" s="60"/>
      <c r="E29" s="60"/>
      <c r="F29" s="60"/>
      <c r="G29" s="60"/>
      <c r="H29" s="60"/>
      <c r="I29" s="60"/>
      <c r="J29" s="78"/>
      <c r="K29" s="60"/>
      <c r="L29" s="60"/>
      <c r="M29" s="87">
        <f t="shared" ref="M29:P29" si="18">hlookup(M30,$K$27:$N$28,2,0)/100</f>
        <v>0.13</v>
      </c>
      <c r="N29" s="87">
        <f t="shared" si="18"/>
        <v>0.13</v>
      </c>
      <c r="O29" s="87">
        <f t="shared" si="18"/>
        <v>0.13</v>
      </c>
      <c r="P29" s="87">
        <f t="shared" si="18"/>
        <v>0.13</v>
      </c>
      <c r="Q29" s="60"/>
      <c r="R29" s="60"/>
      <c r="S29" s="73"/>
    </row>
    <row r="30" ht="22.5" customHeight="1" outlineLevel="1">
      <c r="A30" s="73"/>
      <c r="D30" s="88" t="s">
        <v>76</v>
      </c>
      <c r="E30" s="89" t="s">
        <v>77</v>
      </c>
      <c r="F30" s="88" t="s">
        <v>78</v>
      </c>
      <c r="G30" s="89" t="s">
        <v>79</v>
      </c>
      <c r="H30" s="60"/>
      <c r="I30" s="60"/>
      <c r="J30" s="78"/>
      <c r="K30" s="60"/>
      <c r="L30" s="60"/>
      <c r="M30" s="91" t="str">
        <f t="shared" ref="M30:P30" si="19">D30</f>
        <v>K</v>
      </c>
      <c r="N30" s="91" t="str">
        <f t="shared" si="19"/>
        <v>KR</v>
      </c>
      <c r="O30" s="91" t="str">
        <f t="shared" si="19"/>
        <v>P</v>
      </c>
      <c r="P30" s="91" t="str">
        <f t="shared" si="19"/>
        <v>PR</v>
      </c>
      <c r="Q30" s="60"/>
      <c r="R30" s="60"/>
      <c r="S30" s="73"/>
    </row>
    <row r="31" ht="22.5" customHeight="1" outlineLevel="1">
      <c r="A31" s="73"/>
      <c r="D31" s="92">
        <v>102.4</v>
      </c>
      <c r="E31" s="93">
        <v>136.0</v>
      </c>
      <c r="F31" s="92">
        <v>102.2</v>
      </c>
      <c r="G31" s="93">
        <v>101.7</v>
      </c>
      <c r="H31" s="60"/>
      <c r="I31" s="60"/>
      <c r="J31" s="78"/>
      <c r="K31" s="60"/>
      <c r="L31" s="60"/>
      <c r="M31" s="94">
        <f t="shared" ref="M31:P31" si="20">(D31-M32-M33)/(1+M29)</f>
        <v>90.61946903</v>
      </c>
      <c r="N31" s="94">
        <f t="shared" si="20"/>
        <v>115.9292035</v>
      </c>
      <c r="O31" s="94">
        <f t="shared" si="20"/>
        <v>90.44247788</v>
      </c>
      <c r="P31" s="94">
        <f t="shared" si="20"/>
        <v>90</v>
      </c>
      <c r="Q31" s="60"/>
      <c r="R31" s="60"/>
      <c r="S31" s="73"/>
    </row>
    <row r="32" ht="22.5" customHeight="1" outlineLevel="1">
      <c r="A32" s="73"/>
      <c r="D32" s="95"/>
      <c r="E32" s="96" t="s">
        <v>62</v>
      </c>
      <c r="F32" s="95"/>
      <c r="G32" s="96"/>
      <c r="H32" s="60"/>
      <c r="I32" s="60"/>
      <c r="J32" s="78"/>
      <c r="K32" s="60"/>
      <c r="L32" s="60"/>
      <c r="M32" s="91">
        <f t="shared" ref="M32:P32" si="21">if(ISBLANK(D32)=FALSE,$P$28,0)</f>
        <v>0</v>
      </c>
      <c r="N32" s="91">
        <f t="shared" si="21"/>
        <v>5</v>
      </c>
      <c r="O32" s="91">
        <f t="shared" si="21"/>
        <v>0</v>
      </c>
      <c r="P32" s="91">
        <f t="shared" si="21"/>
        <v>0</v>
      </c>
      <c r="Q32" s="60"/>
      <c r="R32" s="106" t="s">
        <v>84</v>
      </c>
      <c r="S32" s="73"/>
    </row>
    <row r="33" ht="22.5" customHeight="1" outlineLevel="1">
      <c r="A33" s="73"/>
      <c r="D33" s="97"/>
      <c r="E33" s="98"/>
      <c r="F33" s="97"/>
      <c r="G33" s="98"/>
      <c r="H33" s="60"/>
      <c r="I33" s="60"/>
      <c r="J33" s="78"/>
      <c r="K33" s="60"/>
      <c r="L33" s="60"/>
      <c r="M33" s="91">
        <f t="shared" ref="M33:P33" si="22">if(D33="2 from Dual",2,0)+if(D33="1 from Dual",1,0)</f>
        <v>0</v>
      </c>
      <c r="N33" s="91">
        <f t="shared" si="22"/>
        <v>0</v>
      </c>
      <c r="O33" s="91">
        <f t="shared" si="22"/>
        <v>0</v>
      </c>
      <c r="P33" s="91">
        <f t="shared" si="22"/>
        <v>0</v>
      </c>
      <c r="Q33" s="60"/>
      <c r="R33" s="105">
        <f>I2*P28</f>
        <v>0</v>
      </c>
      <c r="S33" s="73"/>
    </row>
    <row r="34" ht="22.5" customHeight="1" outlineLevel="1">
      <c r="A34" s="73"/>
      <c r="B34" s="60"/>
      <c r="C34" s="60"/>
      <c r="D34" s="60"/>
      <c r="E34" s="60"/>
      <c r="F34" s="60"/>
      <c r="G34" s="60"/>
      <c r="H34" s="60"/>
      <c r="I34" s="60"/>
      <c r="J34" s="78"/>
      <c r="K34" s="60"/>
      <c r="L34" s="60"/>
      <c r="M34" s="60"/>
      <c r="N34" s="60"/>
      <c r="O34" s="60"/>
      <c r="P34" s="60"/>
      <c r="Q34" s="60"/>
      <c r="R34" s="60"/>
      <c r="S34" s="73"/>
    </row>
    <row r="35" ht="22.5" customHeight="1">
      <c r="A35" s="73"/>
      <c r="B35" s="81" t="s">
        <v>85</v>
      </c>
      <c r="J35" s="78"/>
      <c r="K35" s="106">
        <v>2.0</v>
      </c>
      <c r="L35" s="106">
        <v>3.0</v>
      </c>
      <c r="M35" s="106">
        <v>4.0</v>
      </c>
      <c r="N35" s="106">
        <v>5.0</v>
      </c>
      <c r="O35" s="106">
        <v>6.0</v>
      </c>
      <c r="P35" s="60"/>
      <c r="Q35" s="60"/>
      <c r="R35" s="60"/>
      <c r="S35" s="73"/>
    </row>
    <row r="36" ht="22.5" customHeight="1">
      <c r="A36" s="73"/>
      <c r="B36" s="74" t="s">
        <v>53</v>
      </c>
      <c r="C36" s="74"/>
      <c r="D36" s="74"/>
      <c r="E36" s="74"/>
      <c r="F36" s="74"/>
      <c r="G36" s="74"/>
      <c r="H36" s="77" t="s">
        <v>86</v>
      </c>
      <c r="I36" s="74"/>
      <c r="J36" s="78"/>
      <c r="K36" s="79" t="s">
        <v>47</v>
      </c>
      <c r="L36" s="79" t="s">
        <v>48</v>
      </c>
      <c r="M36" s="79" t="s">
        <v>49</v>
      </c>
      <c r="N36" s="79" t="s">
        <v>50</v>
      </c>
      <c r="O36" s="79" t="s">
        <v>51</v>
      </c>
      <c r="P36" s="80" t="s">
        <v>52</v>
      </c>
      <c r="Q36" s="60"/>
      <c r="R36" s="60"/>
      <c r="S36" s="73"/>
    </row>
    <row r="37" ht="22.5" customHeight="1">
      <c r="A37" s="73"/>
      <c r="B37" s="99" t="s">
        <v>47</v>
      </c>
      <c r="C37" s="99" t="s">
        <v>48</v>
      </c>
      <c r="D37" s="99" t="s">
        <v>49</v>
      </c>
      <c r="E37" s="99" t="s">
        <v>50</v>
      </c>
      <c r="F37" s="99" t="s">
        <v>51</v>
      </c>
      <c r="H37" s="107">
        <v>40.0</v>
      </c>
      <c r="I37" s="60"/>
      <c r="J37" s="78"/>
      <c r="K37" s="79">
        <f>vlookup($H$37,'Boost Data'!$A$1:$F$52,K$35,0)</f>
        <v>16</v>
      </c>
      <c r="L37" s="79">
        <f>vlookup($H$37,'Boost Data'!$A$1:$F$52,L35,0)</f>
        <v>16</v>
      </c>
      <c r="M37" s="79">
        <f>vlookup($H$37,'Boost Data'!$A$1:$F$52,M35,0)</f>
        <v>16</v>
      </c>
      <c r="N37" s="79">
        <f>vlookup($H$37,'Boost Data'!$A$1:$F$52,N35,0)</f>
        <v>16</v>
      </c>
      <c r="O37" s="79">
        <f>vlookup($H$37,'Boost Data'!$A$1:$F$52,O35,0)</f>
        <v>16</v>
      </c>
      <c r="P37" s="86">
        <f>VLOOKUP(H37,'Boost Data'!$A$1:$G$52,7,0)</f>
        <v>117960</v>
      </c>
      <c r="Q37" s="60"/>
      <c r="R37" s="60"/>
      <c r="S37" s="73"/>
    </row>
    <row r="38" ht="22.5" customHeight="1">
      <c r="A38" s="73"/>
      <c r="B38" s="108" t="str">
        <f t="shared" ref="B38:F38" si="23">K4&amp;"% ⏩ "&amp;K37&amp;"%"</f>
        <v>9% ⏩ 16%</v>
      </c>
      <c r="C38" s="109" t="str">
        <f t="shared" si="23"/>
        <v>9% ⏩ 16%</v>
      </c>
      <c r="D38" s="108" t="str">
        <f t="shared" si="23"/>
        <v>9% ⏩ 16%</v>
      </c>
      <c r="E38" s="109" t="str">
        <f t="shared" si="23"/>
        <v>9% ⏩ 16%</v>
      </c>
      <c r="F38" s="108" t="str">
        <f t="shared" si="23"/>
        <v>9% ⏩ 16%</v>
      </c>
      <c r="G38" s="60"/>
      <c r="I38" s="60"/>
      <c r="J38" s="78"/>
      <c r="K38" s="110">
        <f>hlookup(K39,$K36:$O37,2,0)</f>
        <v>16</v>
      </c>
      <c r="L38" s="110">
        <f>hlookup(L39,$K$36:$O$37,2,0)</f>
        <v>16</v>
      </c>
      <c r="M38" s="110">
        <f t="shared" ref="M38:Q38" si="24">hlookup(M39,$K36:$O37,2,0)</f>
        <v>16</v>
      </c>
      <c r="N38" s="110">
        <f t="shared" si="24"/>
        <v>16</v>
      </c>
      <c r="O38" s="110">
        <f t="shared" si="24"/>
        <v>16</v>
      </c>
      <c r="P38" s="110">
        <f t="shared" si="24"/>
        <v>16</v>
      </c>
      <c r="Q38" s="110">
        <f t="shared" si="24"/>
        <v>16</v>
      </c>
      <c r="R38" s="110"/>
      <c r="S38" s="73"/>
    </row>
    <row r="39" ht="22.5" customHeight="1">
      <c r="A39" s="73"/>
      <c r="B39" s="54"/>
      <c r="C39" s="53"/>
      <c r="D39" s="53"/>
      <c r="E39" s="53"/>
      <c r="F39" s="53"/>
      <c r="G39" s="60"/>
      <c r="H39" s="60"/>
      <c r="I39" s="60"/>
      <c r="J39" s="78"/>
      <c r="K39" s="91" t="str">
        <f t="shared" ref="K39:Q39" si="25">K6</f>
        <v>WR</v>
      </c>
      <c r="L39" s="91" t="str">
        <f t="shared" si="25"/>
        <v>C/OG/OT</v>
      </c>
      <c r="M39" s="91" t="str">
        <f t="shared" si="25"/>
        <v>C/OG/OT</v>
      </c>
      <c r="N39" s="91" t="str">
        <f t="shared" si="25"/>
        <v>C/OG/OT</v>
      </c>
      <c r="O39" s="91" t="str">
        <f t="shared" si="25"/>
        <v>C/OG/OT</v>
      </c>
      <c r="P39" s="91" t="str">
        <f t="shared" si="25"/>
        <v>C/OG/OT</v>
      </c>
      <c r="Q39" s="91" t="str">
        <f t="shared" si="25"/>
        <v>WR</v>
      </c>
      <c r="R39" s="60"/>
      <c r="S39" s="73"/>
    </row>
    <row r="40" ht="22.5" customHeight="1">
      <c r="A40" s="73"/>
      <c r="B40" s="74" t="s">
        <v>68</v>
      </c>
      <c r="C40" s="74"/>
      <c r="D40" s="74"/>
      <c r="E40" s="74"/>
      <c r="F40" s="74"/>
      <c r="G40" s="74"/>
      <c r="H40" s="77" t="s">
        <v>86</v>
      </c>
      <c r="I40" s="74"/>
      <c r="J40" s="78"/>
      <c r="K40" s="94">
        <f t="shared" ref="K40:Q40" si="26">K7+(K7*(K38/100))+K41+K42</f>
        <v>149.733945</v>
      </c>
      <c r="L40" s="94">
        <f t="shared" si="26"/>
        <v>105.3577982</v>
      </c>
      <c r="M40" s="94">
        <f t="shared" si="26"/>
        <v>112.8073394</v>
      </c>
      <c r="N40" s="94">
        <f t="shared" si="26"/>
        <v>112.8073394</v>
      </c>
      <c r="O40" s="94">
        <f t="shared" si="26"/>
        <v>135.1559633</v>
      </c>
      <c r="P40" s="94">
        <f t="shared" si="26"/>
        <v>148.6697248</v>
      </c>
      <c r="Q40" s="94">
        <f t="shared" si="26"/>
        <v>128.7706422</v>
      </c>
      <c r="R40" s="60"/>
      <c r="S40" s="73"/>
    </row>
    <row r="41" ht="22.5" customHeight="1">
      <c r="A41" s="73"/>
      <c r="B41" s="99" t="s">
        <v>64</v>
      </c>
      <c r="C41" s="99" t="s">
        <v>65</v>
      </c>
      <c r="D41" s="99" t="s">
        <v>4</v>
      </c>
      <c r="E41" s="99" t="s">
        <v>66</v>
      </c>
      <c r="F41" s="99" t="s">
        <v>67</v>
      </c>
      <c r="G41" s="60"/>
      <c r="H41" s="107">
        <v>30.0</v>
      </c>
      <c r="I41" s="60"/>
      <c r="J41" s="78"/>
      <c r="K41" s="91">
        <f t="shared" ref="K41:Q41" si="27">if(isblank(B8),0,$P$61)</f>
        <v>5</v>
      </c>
      <c r="L41" s="91">
        <f t="shared" si="27"/>
        <v>0</v>
      </c>
      <c r="M41" s="91">
        <f t="shared" si="27"/>
        <v>0</v>
      </c>
      <c r="N41" s="91">
        <f t="shared" si="27"/>
        <v>0</v>
      </c>
      <c r="O41" s="91">
        <f t="shared" si="27"/>
        <v>0</v>
      </c>
      <c r="P41" s="91">
        <f t="shared" si="27"/>
        <v>5</v>
      </c>
      <c r="Q41" s="91">
        <f t="shared" si="27"/>
        <v>0</v>
      </c>
      <c r="R41" s="60"/>
      <c r="S41" s="73"/>
    </row>
    <row r="42" ht="22.5" customHeight="1">
      <c r="A42" s="73"/>
      <c r="B42" s="108" t="str">
        <f t="shared" ref="B42:F42" si="28">K16&amp;"% ⏩ "&amp;K49&amp;"%"</f>
        <v>9% ⏩ 12%</v>
      </c>
      <c r="C42" s="109" t="str">
        <f t="shared" si="28"/>
        <v>9% ⏩ 12%</v>
      </c>
      <c r="D42" s="108" t="str">
        <f t="shared" si="28"/>
        <v>9% ⏩ 12%</v>
      </c>
      <c r="E42" s="109" t="str">
        <f t="shared" si="28"/>
        <v>9% ⏩ 12%</v>
      </c>
      <c r="F42" s="108" t="str">
        <f t="shared" si="28"/>
        <v>9% ⏩ 12%</v>
      </c>
      <c r="G42" s="60"/>
      <c r="I42" s="60"/>
      <c r="J42" s="78"/>
      <c r="K42" s="91">
        <f t="shared" ref="K42:Q42" si="29">K9</f>
        <v>0</v>
      </c>
      <c r="L42" s="91">
        <f t="shared" si="29"/>
        <v>0</v>
      </c>
      <c r="M42" s="91">
        <f t="shared" si="29"/>
        <v>0</v>
      </c>
      <c r="N42" s="91">
        <f t="shared" si="29"/>
        <v>0</v>
      </c>
      <c r="O42" s="91">
        <f t="shared" si="29"/>
        <v>0</v>
      </c>
      <c r="P42" s="91">
        <f t="shared" si="29"/>
        <v>0</v>
      </c>
      <c r="Q42" s="91">
        <f t="shared" si="29"/>
        <v>0</v>
      </c>
      <c r="R42" s="60"/>
      <c r="S42" s="73"/>
    </row>
    <row r="43" ht="22.5" customHeight="1">
      <c r="A43" s="73"/>
      <c r="B43" s="53"/>
      <c r="C43" s="53"/>
      <c r="D43" s="53"/>
      <c r="E43" s="53"/>
      <c r="F43" s="53"/>
      <c r="G43" s="60"/>
      <c r="H43" s="60"/>
      <c r="I43" s="60"/>
      <c r="J43" s="78"/>
      <c r="K43" s="99"/>
      <c r="L43" s="110">
        <f t="shared" ref="L43:P43" si="30">hlookup(L44,$K$36:$O$37,2,0)</f>
        <v>16</v>
      </c>
      <c r="M43" s="110">
        <f t="shared" si="30"/>
        <v>16</v>
      </c>
      <c r="N43" s="110">
        <f t="shared" si="30"/>
        <v>16</v>
      </c>
      <c r="O43" s="110">
        <f t="shared" si="30"/>
        <v>16</v>
      </c>
      <c r="P43" s="110">
        <f t="shared" si="30"/>
        <v>16</v>
      </c>
      <c r="Q43" s="99"/>
      <c r="R43" s="60"/>
      <c r="S43" s="73"/>
    </row>
    <row r="44" ht="22.5" customHeight="1">
      <c r="A44" s="73"/>
      <c r="B44" s="74" t="s">
        <v>83</v>
      </c>
      <c r="C44" s="74"/>
      <c r="D44" s="74"/>
      <c r="E44" s="74"/>
      <c r="F44" s="74"/>
      <c r="G44" s="74"/>
      <c r="H44" s="77" t="s">
        <v>86</v>
      </c>
      <c r="I44" s="74"/>
      <c r="J44" s="78"/>
      <c r="K44" s="90"/>
      <c r="L44" s="91" t="str">
        <f t="shared" ref="L44:P44" si="31">L11</f>
        <v>WR</v>
      </c>
      <c r="M44" s="91" t="str">
        <f t="shared" si="31"/>
        <v>HB/FB</v>
      </c>
      <c r="N44" s="91" t="str">
        <f t="shared" si="31"/>
        <v>QB</v>
      </c>
      <c r="O44" s="91" t="str">
        <f t="shared" si="31"/>
        <v>HB/FB</v>
      </c>
      <c r="P44" s="91" t="str">
        <f t="shared" si="31"/>
        <v>TE</v>
      </c>
      <c r="Q44" s="90"/>
      <c r="R44" s="60"/>
      <c r="S44" s="73"/>
    </row>
    <row r="45" ht="22.5" customHeight="1">
      <c r="A45" s="73"/>
      <c r="B45" s="99" t="s">
        <v>76</v>
      </c>
      <c r="C45" s="99" t="s">
        <v>77</v>
      </c>
      <c r="D45" s="99" t="s">
        <v>78</v>
      </c>
      <c r="E45" s="99" t="s">
        <v>79</v>
      </c>
      <c r="F45" s="99"/>
      <c r="G45" s="60"/>
      <c r="H45" s="107">
        <v>31.0</v>
      </c>
      <c r="I45" s="60"/>
      <c r="J45" s="78"/>
      <c r="K45" s="100"/>
      <c r="L45" s="94">
        <f t="shared" ref="L45:P45" si="32">L12+(L12*(L43/100))+L46+L47</f>
        <v>127.706422</v>
      </c>
      <c r="M45" s="94">
        <f t="shared" si="32"/>
        <v>126.6422018</v>
      </c>
      <c r="N45" s="94">
        <f t="shared" si="32"/>
        <v>125.5779817</v>
      </c>
      <c r="O45" s="94">
        <f t="shared" si="32"/>
        <v>126.6422018</v>
      </c>
      <c r="P45" s="94">
        <f t="shared" si="32"/>
        <v>137.2844037</v>
      </c>
      <c r="Q45" s="90"/>
      <c r="R45" s="60"/>
      <c r="S45" s="73"/>
    </row>
    <row r="46" ht="22.5" customHeight="1">
      <c r="A46" s="73"/>
      <c r="B46" s="108" t="str">
        <f t="shared" ref="B46:E46" si="33">K28&amp;"% ⏩ "&amp;K61&amp;"%"</f>
        <v>13% ⏩ 13%</v>
      </c>
      <c r="C46" s="109" t="str">
        <f t="shared" si="33"/>
        <v>13% ⏩ 13%</v>
      </c>
      <c r="D46" s="108" t="str">
        <f t="shared" si="33"/>
        <v>13% ⏩ 13%</v>
      </c>
      <c r="E46" s="109" t="str">
        <f t="shared" si="33"/>
        <v>13% ⏩ 13%</v>
      </c>
      <c r="F46" s="53"/>
      <c r="G46" s="60"/>
      <c r="I46" s="60"/>
      <c r="J46" s="78"/>
      <c r="K46" s="100"/>
      <c r="L46" s="91">
        <f t="shared" ref="L46:P46" si="34">if(isblank(C13),0,$P$61)</f>
        <v>0</v>
      </c>
      <c r="M46" s="91">
        <f t="shared" si="34"/>
        <v>0</v>
      </c>
      <c r="N46" s="91">
        <f t="shared" si="34"/>
        <v>0</v>
      </c>
      <c r="O46" s="91">
        <f t="shared" si="34"/>
        <v>0</v>
      </c>
      <c r="P46" s="91">
        <f t="shared" si="34"/>
        <v>0</v>
      </c>
      <c r="Q46" s="90"/>
      <c r="R46" s="60"/>
      <c r="S46" s="73"/>
    </row>
    <row r="47" ht="22.5" customHeight="1">
      <c r="A47" s="73"/>
      <c r="B47" s="60"/>
      <c r="C47" s="60"/>
      <c r="D47" s="60"/>
      <c r="E47" s="60"/>
      <c r="F47" s="60"/>
      <c r="G47" s="60"/>
      <c r="H47" s="60"/>
      <c r="I47" s="60"/>
      <c r="J47" s="78"/>
      <c r="K47" s="100"/>
      <c r="L47" s="91">
        <f t="shared" ref="L47:P47" si="35">L14</f>
        <v>0</v>
      </c>
      <c r="M47" s="91">
        <f t="shared" si="35"/>
        <v>0</v>
      </c>
      <c r="N47" s="91">
        <f t="shared" si="35"/>
        <v>0</v>
      </c>
      <c r="O47" s="91">
        <f t="shared" si="35"/>
        <v>0</v>
      </c>
      <c r="P47" s="91">
        <f t="shared" si="35"/>
        <v>0</v>
      </c>
      <c r="Q47" s="90"/>
      <c r="R47" s="60"/>
      <c r="S47" s="73"/>
    </row>
    <row r="48" ht="22.5" hidden="1" customHeight="1">
      <c r="A48" s="73"/>
      <c r="B48" s="60"/>
      <c r="C48" s="60"/>
      <c r="D48" s="60"/>
      <c r="E48" s="60"/>
      <c r="F48" s="60"/>
      <c r="G48" s="60"/>
      <c r="H48" s="60"/>
      <c r="I48" s="60"/>
      <c r="J48" s="78"/>
      <c r="K48" s="79" t="s">
        <v>64</v>
      </c>
      <c r="L48" s="79" t="s">
        <v>65</v>
      </c>
      <c r="M48" s="79" t="s">
        <v>4</v>
      </c>
      <c r="N48" s="79" t="s">
        <v>66</v>
      </c>
      <c r="O48" s="79" t="s">
        <v>67</v>
      </c>
      <c r="P48" s="80" t="s">
        <v>52</v>
      </c>
      <c r="Q48" s="60"/>
      <c r="R48" s="60"/>
      <c r="S48" s="73"/>
    </row>
    <row r="49" ht="22.5" hidden="1" customHeight="1">
      <c r="A49" s="73"/>
      <c r="B49" s="60"/>
      <c r="C49" s="60"/>
      <c r="D49" s="60"/>
      <c r="E49" s="60"/>
      <c r="F49" s="60"/>
      <c r="G49" s="60"/>
      <c r="H49" s="60"/>
      <c r="I49" s="60"/>
      <c r="J49" s="78"/>
      <c r="K49" s="79">
        <f>vlookup($H$41,'Boost Data'!$J$1:$O$52,K35,0)</f>
        <v>12</v>
      </c>
      <c r="L49" s="79">
        <f>vlookup($H$41,'Boost Data'!$J$1:$O$52,L35,0)</f>
        <v>12</v>
      </c>
      <c r="M49" s="79">
        <f>vlookup($H$41,'Boost Data'!$J$1:$O$52,M35,0)</f>
        <v>12</v>
      </c>
      <c r="N49" s="79">
        <f>vlookup($H$41,'Boost Data'!$J$1:$O$52,N35,0)</f>
        <v>12</v>
      </c>
      <c r="O49" s="79">
        <f>vlookup($H$41,'Boost Data'!$J$1:$O$52,O35,0)</f>
        <v>12</v>
      </c>
      <c r="P49" s="86">
        <f>VLOOKUP(H41,'Boost Data'!$J$1:$P$52,7,0)</f>
        <v>46750</v>
      </c>
      <c r="Q49" s="60"/>
      <c r="R49" s="60"/>
      <c r="S49" s="73"/>
    </row>
    <row r="50" ht="22.5" hidden="1" customHeight="1">
      <c r="A50" s="73"/>
      <c r="B50" s="60"/>
      <c r="C50" s="60"/>
      <c r="D50" s="60"/>
      <c r="E50" s="60"/>
      <c r="F50" s="60"/>
      <c r="G50" s="60"/>
      <c r="H50" s="60"/>
      <c r="I50" s="60"/>
      <c r="J50" s="78"/>
      <c r="K50" s="110">
        <f>hlookup(K51,$K48:$O49,2,0)</f>
        <v>12</v>
      </c>
      <c r="L50" s="110">
        <f>hlookup(L51,$K$48:$O$49,2,0)</f>
        <v>12</v>
      </c>
      <c r="M50" s="110">
        <f t="shared" ref="M50:R50" si="36">hlookup(M51,$K48:$O49,2,0)</f>
        <v>12</v>
      </c>
      <c r="N50" s="110">
        <f t="shared" si="36"/>
        <v>12</v>
      </c>
      <c r="O50" s="110">
        <f t="shared" si="36"/>
        <v>12</v>
      </c>
      <c r="P50" s="110">
        <f t="shared" si="36"/>
        <v>12</v>
      </c>
      <c r="Q50" s="110">
        <f t="shared" si="36"/>
        <v>12</v>
      </c>
      <c r="R50" s="110">
        <f t="shared" si="36"/>
        <v>12</v>
      </c>
      <c r="S50" s="73"/>
    </row>
    <row r="51" ht="22.5" hidden="1" customHeight="1">
      <c r="A51" s="73"/>
      <c r="B51" s="60"/>
      <c r="C51" s="60"/>
      <c r="D51" s="60"/>
      <c r="E51" s="60"/>
      <c r="F51" s="60"/>
      <c r="G51" s="60"/>
      <c r="H51" s="60"/>
      <c r="I51" s="60"/>
      <c r="J51" s="78"/>
      <c r="K51" s="91" t="str">
        <f t="shared" ref="K51:R51" si="37">K18</f>
        <v>CB</v>
      </c>
      <c r="L51" s="91" t="str">
        <f t="shared" si="37"/>
        <v>S</v>
      </c>
      <c r="M51" s="91" t="str">
        <f t="shared" si="37"/>
        <v>LB/MLB</v>
      </c>
      <c r="N51" s="91" t="str">
        <f t="shared" si="37"/>
        <v>LB/MLB</v>
      </c>
      <c r="O51" s="91" t="str">
        <f t="shared" si="37"/>
        <v>LB/MLB</v>
      </c>
      <c r="P51" s="91" t="str">
        <f t="shared" si="37"/>
        <v>LB/MLB</v>
      </c>
      <c r="Q51" s="91" t="str">
        <f t="shared" si="37"/>
        <v>S</v>
      </c>
      <c r="R51" s="91" t="str">
        <f t="shared" si="37"/>
        <v>CB</v>
      </c>
      <c r="S51" s="73"/>
    </row>
    <row r="52" ht="22.5" hidden="1" customHeight="1">
      <c r="A52" s="73"/>
      <c r="B52" s="60"/>
      <c r="C52" s="60"/>
      <c r="D52" s="60"/>
      <c r="E52" s="60"/>
      <c r="F52" s="60"/>
      <c r="G52" s="60"/>
      <c r="H52" s="60"/>
      <c r="I52" s="60"/>
      <c r="J52" s="78"/>
      <c r="K52" s="94">
        <f t="shared" ref="K52:R52" si="38">K19+(K19*(K50/100))+K53+K54</f>
        <v>119.1926606</v>
      </c>
      <c r="L52" s="94">
        <f t="shared" si="38"/>
        <v>141.6605505</v>
      </c>
      <c r="M52" s="94">
        <f t="shared" si="38"/>
        <v>105.8348624</v>
      </c>
      <c r="N52" s="94">
        <f t="shared" si="38"/>
        <v>119.1926606</v>
      </c>
      <c r="O52" s="94">
        <f t="shared" si="38"/>
        <v>105.8348624</v>
      </c>
      <c r="P52" s="94">
        <f t="shared" si="38"/>
        <v>105.8348624</v>
      </c>
      <c r="Q52" s="94">
        <f t="shared" si="38"/>
        <v>119.1926606</v>
      </c>
      <c r="R52" s="94">
        <f t="shared" si="38"/>
        <v>119.1926606</v>
      </c>
      <c r="S52" s="73"/>
    </row>
    <row r="53" ht="22.5" hidden="1" customHeight="1">
      <c r="A53" s="73"/>
      <c r="B53" s="60"/>
      <c r="C53" s="60"/>
      <c r="D53" s="60"/>
      <c r="E53" s="60"/>
      <c r="F53" s="60"/>
      <c r="G53" s="60"/>
      <c r="H53" s="60"/>
      <c r="I53" s="60"/>
      <c r="J53" s="78"/>
      <c r="K53" s="91">
        <f t="shared" ref="K53:R53" si="39">if(isblank(B20),0,$P$61)</f>
        <v>0</v>
      </c>
      <c r="L53" s="91">
        <f t="shared" si="39"/>
        <v>5</v>
      </c>
      <c r="M53" s="91">
        <f t="shared" si="39"/>
        <v>0</v>
      </c>
      <c r="N53" s="91">
        <f t="shared" si="39"/>
        <v>0</v>
      </c>
      <c r="O53" s="91">
        <f t="shared" si="39"/>
        <v>0</v>
      </c>
      <c r="P53" s="91">
        <f t="shared" si="39"/>
        <v>0</v>
      </c>
      <c r="Q53" s="91">
        <f t="shared" si="39"/>
        <v>0</v>
      </c>
      <c r="R53" s="91">
        <f t="shared" si="39"/>
        <v>0</v>
      </c>
      <c r="S53" s="73"/>
    </row>
    <row r="54" ht="22.5" hidden="1" customHeight="1">
      <c r="A54" s="73"/>
      <c r="B54" s="60"/>
      <c r="C54" s="60"/>
      <c r="D54" s="60"/>
      <c r="E54" s="60"/>
      <c r="F54" s="60"/>
      <c r="G54" s="60"/>
      <c r="H54" s="60"/>
      <c r="I54" s="60"/>
      <c r="J54" s="78"/>
      <c r="K54" s="91">
        <f t="shared" ref="K54:R54" si="40">K21</f>
        <v>0</v>
      </c>
      <c r="L54" s="91">
        <f t="shared" si="40"/>
        <v>0</v>
      </c>
      <c r="M54" s="91">
        <f t="shared" si="40"/>
        <v>0</v>
      </c>
      <c r="N54" s="91">
        <f t="shared" si="40"/>
        <v>0</v>
      </c>
      <c r="O54" s="91">
        <f t="shared" si="40"/>
        <v>0</v>
      </c>
      <c r="P54" s="91">
        <f t="shared" si="40"/>
        <v>0</v>
      </c>
      <c r="Q54" s="91">
        <f t="shared" si="40"/>
        <v>0</v>
      </c>
      <c r="R54" s="91">
        <f t="shared" si="40"/>
        <v>0</v>
      </c>
      <c r="S54" s="73"/>
    </row>
    <row r="55" ht="22.5" hidden="1" customHeight="1">
      <c r="A55" s="73"/>
      <c r="B55" s="60"/>
      <c r="C55" s="60"/>
      <c r="D55" s="60"/>
      <c r="E55" s="60"/>
      <c r="F55" s="60"/>
      <c r="G55" s="60"/>
      <c r="H55" s="60"/>
      <c r="I55" s="60"/>
      <c r="J55" s="78"/>
      <c r="K55" s="99"/>
      <c r="L55" s="110">
        <f t="shared" ref="L55:Q55" si="41">hlookup(L56,$K$48:$O$49,2,0)</f>
        <v>12</v>
      </c>
      <c r="M55" s="110">
        <f t="shared" si="41"/>
        <v>12</v>
      </c>
      <c r="N55" s="110">
        <f t="shared" si="41"/>
        <v>12</v>
      </c>
      <c r="O55" s="110">
        <f t="shared" si="41"/>
        <v>12</v>
      </c>
      <c r="P55" s="110">
        <f t="shared" si="41"/>
        <v>12</v>
      </c>
      <c r="Q55" s="110">
        <f t="shared" si="41"/>
        <v>12</v>
      </c>
      <c r="R55" s="99"/>
      <c r="S55" s="73"/>
    </row>
    <row r="56" ht="22.5" hidden="1" customHeight="1">
      <c r="A56" s="73"/>
      <c r="B56" s="60"/>
      <c r="C56" s="60"/>
      <c r="D56" s="60"/>
      <c r="E56" s="60"/>
      <c r="F56" s="60"/>
      <c r="G56" s="60"/>
      <c r="H56" s="60"/>
      <c r="I56" s="60"/>
      <c r="J56" s="78"/>
      <c r="K56" s="99"/>
      <c r="L56" s="91" t="str">
        <f t="shared" ref="L56:Q56" si="42">L23</f>
        <v>CB</v>
      </c>
      <c r="M56" s="91" t="str">
        <f t="shared" si="42"/>
        <v>DE</v>
      </c>
      <c r="N56" s="91" t="str">
        <f t="shared" si="42"/>
        <v>DT</v>
      </c>
      <c r="O56" s="91" t="str">
        <f t="shared" si="42"/>
        <v>DT</v>
      </c>
      <c r="P56" s="91" t="str">
        <f t="shared" si="42"/>
        <v>DE</v>
      </c>
      <c r="Q56" s="91" t="str">
        <f t="shared" si="42"/>
        <v>CB</v>
      </c>
      <c r="R56" s="60"/>
      <c r="S56" s="73"/>
    </row>
    <row r="57" ht="22.5" hidden="1" customHeight="1">
      <c r="A57" s="73"/>
      <c r="B57" s="60"/>
      <c r="C57" s="60"/>
      <c r="D57" s="60"/>
      <c r="E57" s="60"/>
      <c r="F57" s="60"/>
      <c r="G57" s="60"/>
      <c r="H57" s="60"/>
      <c r="I57" s="60"/>
      <c r="J57" s="78"/>
      <c r="K57" s="90"/>
      <c r="L57" s="94">
        <f t="shared" ref="L57:Q57" si="43">L24+(L24*(L55/100))+L58+L59</f>
        <v>104.8073394</v>
      </c>
      <c r="M57" s="94">
        <f t="shared" si="43"/>
        <v>118.1651376</v>
      </c>
      <c r="N57" s="94">
        <f t="shared" si="43"/>
        <v>139.6055046</v>
      </c>
      <c r="O57" s="94">
        <f t="shared" si="43"/>
        <v>118.1651376</v>
      </c>
      <c r="P57" s="94">
        <f t="shared" si="43"/>
        <v>104.8073394</v>
      </c>
      <c r="Q57" s="94">
        <f t="shared" si="43"/>
        <v>104.8073394</v>
      </c>
      <c r="R57" s="60"/>
      <c r="S57" s="73"/>
    </row>
    <row r="58" ht="22.5" hidden="1" customHeight="1">
      <c r="A58" s="73"/>
      <c r="B58" s="60"/>
      <c r="C58" s="60"/>
      <c r="D58" s="60"/>
      <c r="E58" s="60"/>
      <c r="F58" s="60"/>
      <c r="G58" s="60"/>
      <c r="H58" s="60"/>
      <c r="I58" s="60"/>
      <c r="J58" s="78"/>
      <c r="K58" s="90"/>
      <c r="L58" s="91">
        <f t="shared" ref="L58:Q58" si="44">if(isblank(C25),0,$P$61)</f>
        <v>0</v>
      </c>
      <c r="M58" s="91">
        <f t="shared" si="44"/>
        <v>0</v>
      </c>
      <c r="N58" s="91">
        <f t="shared" si="44"/>
        <v>5</v>
      </c>
      <c r="O58" s="91">
        <f t="shared" si="44"/>
        <v>0</v>
      </c>
      <c r="P58" s="91">
        <f t="shared" si="44"/>
        <v>0</v>
      </c>
      <c r="Q58" s="91">
        <f t="shared" si="44"/>
        <v>0</v>
      </c>
      <c r="R58" s="60"/>
      <c r="S58" s="73"/>
    </row>
    <row r="59" ht="22.5" hidden="1" customHeight="1">
      <c r="A59" s="73"/>
      <c r="B59" s="60"/>
      <c r="C59" s="60"/>
      <c r="D59" s="60"/>
      <c r="E59" s="60"/>
      <c r="F59" s="60"/>
      <c r="G59" s="60"/>
      <c r="H59" s="60"/>
      <c r="I59" s="60"/>
      <c r="J59" s="78"/>
      <c r="K59" s="100"/>
      <c r="L59" s="91">
        <f t="shared" ref="L59:Q59" si="45">L26</f>
        <v>0</v>
      </c>
      <c r="M59" s="91">
        <f t="shared" si="45"/>
        <v>0</v>
      </c>
      <c r="N59" s="91">
        <f t="shared" si="45"/>
        <v>0</v>
      </c>
      <c r="O59" s="91">
        <f t="shared" si="45"/>
        <v>0</v>
      </c>
      <c r="P59" s="91">
        <f t="shared" si="45"/>
        <v>0</v>
      </c>
      <c r="Q59" s="91">
        <f t="shared" si="45"/>
        <v>0</v>
      </c>
      <c r="R59" s="60"/>
      <c r="S59" s="73"/>
    </row>
    <row r="60" ht="22.5" hidden="1" customHeight="1">
      <c r="A60" s="73"/>
      <c r="B60" s="60"/>
      <c r="C60" s="60"/>
      <c r="D60" s="60"/>
      <c r="E60" s="60"/>
      <c r="F60" s="60"/>
      <c r="G60" s="60"/>
      <c r="H60" s="60"/>
      <c r="I60" s="60"/>
      <c r="J60" s="78"/>
      <c r="K60" s="103" t="s">
        <v>76</v>
      </c>
      <c r="L60" s="103" t="s">
        <v>77</v>
      </c>
      <c r="M60" s="103" t="s">
        <v>78</v>
      </c>
      <c r="N60" s="103" t="s">
        <v>79</v>
      </c>
      <c r="O60" s="80" t="s">
        <v>52</v>
      </c>
      <c r="P60" s="104" t="s">
        <v>80</v>
      </c>
      <c r="Q60" s="104" t="s">
        <v>81</v>
      </c>
      <c r="R60" s="104" t="s">
        <v>82</v>
      </c>
      <c r="S60" s="73"/>
    </row>
    <row r="61" ht="22.5" hidden="1" customHeight="1">
      <c r="A61" s="73"/>
      <c r="B61" s="60"/>
      <c r="C61" s="60"/>
      <c r="D61" s="60"/>
      <c r="E61" s="60"/>
      <c r="F61" s="60"/>
      <c r="G61" s="60"/>
      <c r="H61" s="60"/>
      <c r="I61" s="60"/>
      <c r="J61" s="78"/>
      <c r="K61" s="79">
        <f>vlookup($H$45,'Boost Data'!$S$1:$W$52,K35,0)</f>
        <v>13</v>
      </c>
      <c r="L61" s="79">
        <f>vlookup($H$45,'Boost Data'!$S$1:$W$52,L35,0)</f>
        <v>13</v>
      </c>
      <c r="M61" s="79">
        <f>vlookup($H$45,'Boost Data'!$S$1:$W$52,M35,0)</f>
        <v>13</v>
      </c>
      <c r="N61" s="79">
        <f>vlookup($H$45,'Boost Data'!$S$1:$W$52,N35,0)</f>
        <v>13</v>
      </c>
      <c r="O61" s="86">
        <f>VLOOKUP(H45,'Boost Data'!$S$1:$X$52,6,0)</f>
        <v>15820</v>
      </c>
      <c r="P61" s="105">
        <f>Countif($B$3:$I$33, "Mythic +1")</f>
        <v>5</v>
      </c>
      <c r="Q61" s="105">
        <f>Countif($B$3:$I$33, "Dual +2")*2</f>
        <v>0</v>
      </c>
      <c r="R61" s="105">
        <f>Countif($B$3:$I$33, "Dual +1")</f>
        <v>0</v>
      </c>
      <c r="S61" s="73"/>
    </row>
    <row r="62" ht="22.5" hidden="1" customHeight="1">
      <c r="A62" s="73"/>
      <c r="B62" s="60"/>
      <c r="C62" s="60"/>
      <c r="D62" s="60"/>
      <c r="E62" s="60"/>
      <c r="F62" s="60"/>
      <c r="G62" s="60"/>
      <c r="H62" s="60"/>
      <c r="I62" s="60"/>
      <c r="J62" s="78"/>
      <c r="K62" s="60"/>
      <c r="L62" s="60"/>
      <c r="M62" s="110">
        <f t="shared" ref="M62:P62" si="46">hlookup(M63,$K$60:$N$61,2,0)</f>
        <v>13</v>
      </c>
      <c r="N62" s="110">
        <f t="shared" si="46"/>
        <v>13</v>
      </c>
      <c r="O62" s="110">
        <f t="shared" si="46"/>
        <v>13</v>
      </c>
      <c r="P62" s="110">
        <f t="shared" si="46"/>
        <v>13</v>
      </c>
      <c r="Q62" s="60"/>
      <c r="R62" s="60"/>
      <c r="S62" s="73"/>
    </row>
    <row r="63" ht="22.5" hidden="1" customHeight="1">
      <c r="A63" s="73"/>
      <c r="B63" s="60"/>
      <c r="C63" s="60"/>
      <c r="D63" s="60"/>
      <c r="E63" s="60"/>
      <c r="F63" s="60"/>
      <c r="G63" s="60"/>
      <c r="H63" s="60"/>
      <c r="I63" s="60"/>
      <c r="J63" s="78"/>
      <c r="K63" s="60"/>
      <c r="L63" s="60"/>
      <c r="M63" s="91" t="str">
        <f t="shared" ref="M63:P63" si="47">M30</f>
        <v>K</v>
      </c>
      <c r="N63" s="91" t="str">
        <f t="shared" si="47"/>
        <v>KR</v>
      </c>
      <c r="O63" s="91" t="str">
        <f t="shared" si="47"/>
        <v>P</v>
      </c>
      <c r="P63" s="91" t="str">
        <f t="shared" si="47"/>
        <v>PR</v>
      </c>
      <c r="Q63" s="60"/>
      <c r="R63" s="60"/>
      <c r="S63" s="73"/>
    </row>
    <row r="64" ht="22.5" hidden="1" customHeight="1">
      <c r="A64" s="73"/>
      <c r="B64" s="60"/>
      <c r="C64" s="60"/>
      <c r="D64" s="60"/>
      <c r="E64" s="60"/>
      <c r="F64" s="60"/>
      <c r="G64" s="60"/>
      <c r="H64" s="60"/>
      <c r="I64" s="60"/>
      <c r="J64" s="78"/>
      <c r="K64" s="60"/>
      <c r="L64" s="60"/>
      <c r="M64" s="94">
        <f t="shared" ref="M64:P64" si="48">M31+(M31*(M62/100))+M65+M66</f>
        <v>102.4</v>
      </c>
      <c r="N64" s="94">
        <f t="shared" si="48"/>
        <v>136</v>
      </c>
      <c r="O64" s="94">
        <f t="shared" si="48"/>
        <v>102.2</v>
      </c>
      <c r="P64" s="94">
        <f t="shared" si="48"/>
        <v>101.7</v>
      </c>
      <c r="Q64" s="60"/>
      <c r="R64" s="60"/>
      <c r="S64" s="73"/>
    </row>
    <row r="65" ht="22.5" hidden="1" customHeight="1">
      <c r="A65" s="73"/>
      <c r="B65" s="60"/>
      <c r="C65" s="60"/>
      <c r="D65" s="60"/>
      <c r="E65" s="60"/>
      <c r="F65" s="60"/>
      <c r="G65" s="60"/>
      <c r="H65" s="60"/>
      <c r="I65" s="60"/>
      <c r="J65" s="78"/>
      <c r="K65" s="60"/>
      <c r="L65" s="60"/>
      <c r="M65" s="91">
        <f t="shared" ref="M65:P65" si="49">if(isblank(D32),0,$P$61)</f>
        <v>0</v>
      </c>
      <c r="N65" s="91">
        <f t="shared" si="49"/>
        <v>5</v>
      </c>
      <c r="O65" s="91">
        <f t="shared" si="49"/>
        <v>0</v>
      </c>
      <c r="P65" s="91">
        <f t="shared" si="49"/>
        <v>0</v>
      </c>
      <c r="Q65" s="60"/>
      <c r="R65" s="60"/>
      <c r="S65" s="73"/>
    </row>
    <row r="66" ht="22.5" hidden="1" customHeight="1">
      <c r="A66" s="73"/>
      <c r="B66" s="60"/>
      <c r="C66" s="60"/>
      <c r="D66" s="60"/>
      <c r="E66" s="60"/>
      <c r="F66" s="60"/>
      <c r="G66" s="60"/>
      <c r="H66" s="60"/>
      <c r="I66" s="60"/>
      <c r="J66" s="78"/>
      <c r="K66" s="60"/>
      <c r="L66" s="60"/>
      <c r="M66" s="91">
        <f t="shared" ref="M66:P66" si="50">M33</f>
        <v>0</v>
      </c>
      <c r="N66" s="91">
        <f t="shared" si="50"/>
        <v>0</v>
      </c>
      <c r="O66" s="91">
        <f t="shared" si="50"/>
        <v>0</v>
      </c>
      <c r="P66" s="91">
        <f t="shared" si="50"/>
        <v>0</v>
      </c>
      <c r="Q66" s="60"/>
      <c r="R66" s="60"/>
      <c r="S66" s="73"/>
    </row>
    <row r="67" ht="22.5" hidden="1" customHeight="1">
      <c r="A67" s="73"/>
      <c r="B67" s="60"/>
      <c r="C67" s="60"/>
      <c r="D67" s="60"/>
      <c r="E67" s="60"/>
      <c r="F67" s="60"/>
      <c r="G67" s="60"/>
      <c r="H67" s="60"/>
      <c r="I67" s="60"/>
      <c r="J67" s="78"/>
      <c r="K67" s="60"/>
      <c r="L67" s="60"/>
      <c r="M67" s="60"/>
      <c r="N67" s="60"/>
      <c r="O67" s="60"/>
      <c r="P67" s="60"/>
      <c r="Q67" s="60"/>
      <c r="R67" s="60"/>
      <c r="S67" s="73"/>
    </row>
    <row r="68" ht="22.5" customHeight="1">
      <c r="A68" s="73"/>
      <c r="B68" s="111"/>
      <c r="C68" s="111"/>
      <c r="D68" s="111"/>
      <c r="E68" s="111"/>
      <c r="F68" s="111"/>
      <c r="G68" s="111"/>
      <c r="H68" s="111"/>
      <c r="I68" s="111"/>
      <c r="J68" s="78"/>
      <c r="K68" s="60"/>
      <c r="L68" s="60"/>
      <c r="M68" s="60"/>
      <c r="N68" s="60"/>
      <c r="O68" s="60"/>
      <c r="P68" s="60"/>
      <c r="Q68" s="60"/>
      <c r="R68" s="60"/>
      <c r="S68" s="73"/>
    </row>
  </sheetData>
  <mergeCells count="7">
    <mergeCell ref="B1:D1"/>
    <mergeCell ref="B2:D2"/>
    <mergeCell ref="B3:D3"/>
    <mergeCell ref="B35:I35"/>
    <mergeCell ref="H37:H38"/>
    <mergeCell ref="H41:H42"/>
    <mergeCell ref="H45:H46"/>
  </mergeCells>
  <conditionalFormatting sqref="F1">
    <cfRule type="cellIs" dxfId="0" priority="1" operator="greaterThanOrEqual">
      <formula>F2</formula>
    </cfRule>
  </conditionalFormatting>
  <dataValidations>
    <dataValidation type="list" allowBlank="1" showErrorMessage="1" sqref="C11">
      <formula1>"WR,TE"</formula1>
    </dataValidation>
    <dataValidation type="list" allowBlank="1" showErrorMessage="1" sqref="B8:H8 C13:G13 B20:I20 C25:H25 D32:G32">
      <formula1>"Mythic +1,Mythic +0"</formula1>
    </dataValidation>
    <dataValidation type="list" allowBlank="1" showErrorMessage="1" sqref="B9:H9 C14:G14 B21:I21 C26:H26 D33:G33">
      <formula1>'Boostimator 26'!$R$11:$R$12</formula1>
    </dataValidation>
    <dataValidation type="list" allowBlank="1" showErrorMessage="1" sqref="C23 H23">
      <formula1>"CB,S"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3.88"/>
    <col customWidth="1" hidden="1" min="10" max="10" width="3.88"/>
    <col hidden="1" min="11" max="18" width="12.63"/>
    <col customWidth="1" min="19" max="19" width="3.88"/>
  </cols>
  <sheetData>
    <row r="1" ht="45.0" customHeight="1">
      <c r="A1" s="65"/>
      <c r="B1" s="66" t="s">
        <v>39</v>
      </c>
      <c r="E1" s="67" t="s">
        <v>40</v>
      </c>
      <c r="F1" s="68">
        <f>sum(K40:Q40,L45:P45,K52:R52,L57:Q57,M64:P64,R33)</f>
        <v>3608.249224</v>
      </c>
      <c r="G1" s="69" t="s">
        <v>41</v>
      </c>
      <c r="H1" s="70">
        <f>sum(O61,P49,P37)-sum(O28,P16,P4)</f>
        <v>26130</v>
      </c>
      <c r="I1" s="71" t="s">
        <v>42</v>
      </c>
      <c r="J1" s="72"/>
      <c r="K1" s="53"/>
      <c r="L1" s="53"/>
      <c r="M1" s="53"/>
      <c r="N1" s="53"/>
      <c r="O1" s="53"/>
      <c r="P1" s="53"/>
      <c r="Q1" s="53"/>
      <c r="R1" s="53"/>
      <c r="S1" s="65"/>
    </row>
    <row r="2" ht="22.5" customHeight="1">
      <c r="A2" s="73"/>
      <c r="B2" s="74" t="s">
        <v>43</v>
      </c>
      <c r="E2" s="75" t="s">
        <v>44</v>
      </c>
      <c r="F2" s="76">
        <v>3600.0</v>
      </c>
      <c r="G2" s="74"/>
      <c r="H2" s="74"/>
      <c r="I2" s="77">
        <v>2.0</v>
      </c>
      <c r="J2" s="78"/>
      <c r="K2" s="79"/>
      <c r="L2" s="79"/>
      <c r="M2" s="79"/>
      <c r="N2" s="79"/>
      <c r="O2" s="79"/>
      <c r="P2" s="80"/>
      <c r="Q2" s="60"/>
      <c r="R2" s="60"/>
      <c r="S2" s="73"/>
    </row>
    <row r="3" ht="22.5" customHeight="1" outlineLevel="1">
      <c r="A3" s="73"/>
      <c r="B3" s="81" t="s">
        <v>45</v>
      </c>
      <c r="E3" s="82" t="s">
        <v>46</v>
      </c>
      <c r="F3" s="83">
        <f>SUM(B7:H7,C12:G12,B19:I19,C24:H24,D31:G31)</f>
        <v>3576.6</v>
      </c>
      <c r="G3" s="81"/>
      <c r="H3" s="81"/>
      <c r="I3" s="81"/>
      <c r="J3" s="78"/>
      <c r="K3" s="79" t="s">
        <v>47</v>
      </c>
      <c r="L3" s="79" t="s">
        <v>48</v>
      </c>
      <c r="M3" s="79" t="s">
        <v>49</v>
      </c>
      <c r="N3" s="79" t="s">
        <v>50</v>
      </c>
      <c r="O3" s="79" t="s">
        <v>51</v>
      </c>
      <c r="P3" s="80" t="s">
        <v>52</v>
      </c>
      <c r="Q3" s="60"/>
      <c r="R3" s="60"/>
      <c r="S3" s="73"/>
    </row>
    <row r="4" ht="22.5" customHeight="1" outlineLevel="1">
      <c r="A4" s="73"/>
      <c r="B4" s="74" t="s">
        <v>53</v>
      </c>
      <c r="C4" s="84" t="s">
        <v>54</v>
      </c>
      <c r="D4" s="85">
        <v>38.0</v>
      </c>
      <c r="E4" s="74"/>
      <c r="F4" s="74"/>
      <c r="G4" s="74"/>
      <c r="H4" s="74"/>
      <c r="I4" s="77"/>
      <c r="J4" s="78"/>
      <c r="K4" s="79">
        <f>vlookup($D$4,'Boost Data'!$A$1:$F$52,2,0)</f>
        <v>15</v>
      </c>
      <c r="L4" s="79">
        <f>vlookup($D$4,'Boost Data'!$A$1:$F$52,3,0)</f>
        <v>15</v>
      </c>
      <c r="M4" s="79">
        <f>vlookup($D$4,'Boost Data'!$A$1:$F$52,4,0)</f>
        <v>16</v>
      </c>
      <c r="N4" s="79">
        <f>vlookup($D$4,'Boost Data'!$A$1:$F$52,5,0)</f>
        <v>16</v>
      </c>
      <c r="O4" s="79">
        <f>vlookup($D$4,'Boost Data'!$A$1:$F$52,6,0)</f>
        <v>16</v>
      </c>
      <c r="P4" s="86">
        <f>VLOOKUP(D4,'Boost Data'!$A$1:$G$52,7,0)</f>
        <v>96660</v>
      </c>
      <c r="Q4" s="60"/>
      <c r="R4" s="60"/>
      <c r="S4" s="73"/>
    </row>
    <row r="5" ht="22.5" customHeight="1" outlineLevel="1">
      <c r="A5" s="73"/>
      <c r="B5" s="60"/>
      <c r="C5" s="60"/>
      <c r="D5" s="60"/>
      <c r="E5" s="60"/>
      <c r="F5" s="60"/>
      <c r="G5" s="60"/>
      <c r="H5" s="60"/>
      <c r="I5" s="60"/>
      <c r="J5" s="78"/>
      <c r="K5" s="87">
        <f t="shared" ref="K5:Q5" si="1">hlookup(K6,$K3:$O4,2,0)/100</f>
        <v>0.16</v>
      </c>
      <c r="L5" s="87">
        <f t="shared" si="1"/>
        <v>0.16</v>
      </c>
      <c r="M5" s="87">
        <f t="shared" si="1"/>
        <v>0.16</v>
      </c>
      <c r="N5" s="87">
        <f t="shared" si="1"/>
        <v>0.16</v>
      </c>
      <c r="O5" s="87">
        <f t="shared" si="1"/>
        <v>0.16</v>
      </c>
      <c r="P5" s="87">
        <f t="shared" si="1"/>
        <v>0.16</v>
      </c>
      <c r="Q5" s="87">
        <f t="shared" si="1"/>
        <v>0.16</v>
      </c>
      <c r="R5" s="60"/>
      <c r="S5" s="73"/>
    </row>
    <row r="6" ht="22.5" customHeight="1" outlineLevel="1">
      <c r="A6" s="73"/>
      <c r="B6" s="88" t="s">
        <v>55</v>
      </c>
      <c r="C6" s="89" t="s">
        <v>56</v>
      </c>
      <c r="D6" s="88" t="s">
        <v>57</v>
      </c>
      <c r="E6" s="89" t="s">
        <v>58</v>
      </c>
      <c r="F6" s="88" t="s">
        <v>59</v>
      </c>
      <c r="G6" s="89" t="s">
        <v>60</v>
      </c>
      <c r="H6" s="88" t="s">
        <v>61</v>
      </c>
      <c r="I6" s="90"/>
      <c r="J6" s="78"/>
      <c r="K6" s="91" t="s">
        <v>50</v>
      </c>
      <c r="L6" s="91" t="s">
        <v>51</v>
      </c>
      <c r="M6" s="91" t="s">
        <v>51</v>
      </c>
      <c r="N6" s="91" t="s">
        <v>51</v>
      </c>
      <c r="O6" s="91" t="s">
        <v>51</v>
      </c>
      <c r="P6" s="91" t="s">
        <v>51</v>
      </c>
      <c r="Q6" s="91" t="s">
        <v>50</v>
      </c>
      <c r="R6" s="60"/>
      <c r="S6" s="73"/>
    </row>
    <row r="7" ht="22.5" customHeight="1" outlineLevel="1">
      <c r="A7" s="73"/>
      <c r="B7" s="92">
        <v>141.0</v>
      </c>
      <c r="C7" s="112">
        <v>120.0</v>
      </c>
      <c r="D7" s="92">
        <v>106.0</v>
      </c>
      <c r="E7" s="93">
        <v>106.0</v>
      </c>
      <c r="F7" s="113">
        <v>140.0</v>
      </c>
      <c r="G7" s="93">
        <v>140.0</v>
      </c>
      <c r="H7" s="92">
        <v>121.0</v>
      </c>
      <c r="I7" s="90"/>
      <c r="J7" s="78"/>
      <c r="K7" s="94">
        <f t="shared" ref="K7:Q7" si="2">(B7-K8-K9)/(1+K5)</f>
        <v>115.5172414</v>
      </c>
      <c r="L7" s="94">
        <f t="shared" si="2"/>
        <v>103.4482759</v>
      </c>
      <c r="M7" s="94">
        <f t="shared" si="2"/>
        <v>91.37931034</v>
      </c>
      <c r="N7" s="94">
        <f t="shared" si="2"/>
        <v>91.37931034</v>
      </c>
      <c r="O7" s="94">
        <f t="shared" si="2"/>
        <v>114.6551724</v>
      </c>
      <c r="P7" s="94">
        <f t="shared" si="2"/>
        <v>114.6551724</v>
      </c>
      <c r="Q7" s="94">
        <f t="shared" si="2"/>
        <v>104.3103448</v>
      </c>
      <c r="R7" s="60"/>
      <c r="S7" s="73"/>
    </row>
    <row r="8" ht="22.5" customHeight="1" outlineLevel="1">
      <c r="A8" s="73"/>
      <c r="B8" s="95" t="s">
        <v>62</v>
      </c>
      <c r="C8" s="96"/>
      <c r="D8" s="95"/>
      <c r="E8" s="96"/>
      <c r="F8" s="114" t="s">
        <v>62</v>
      </c>
      <c r="G8" s="96" t="s">
        <v>62</v>
      </c>
      <c r="H8" s="95"/>
      <c r="I8" s="90"/>
      <c r="J8" s="78"/>
      <c r="K8" s="91">
        <f t="shared" ref="K8:Q8" si="3">if(ISBLANK(B8)=FALSE,$P$28,0)</f>
        <v>7</v>
      </c>
      <c r="L8" s="91">
        <f t="shared" si="3"/>
        <v>0</v>
      </c>
      <c r="M8" s="91">
        <f t="shared" si="3"/>
        <v>0</v>
      </c>
      <c r="N8" s="91">
        <f t="shared" si="3"/>
        <v>0</v>
      </c>
      <c r="O8" s="91">
        <f t="shared" si="3"/>
        <v>7</v>
      </c>
      <c r="P8" s="91">
        <f t="shared" si="3"/>
        <v>7</v>
      </c>
      <c r="Q8" s="91">
        <f t="shared" si="3"/>
        <v>0</v>
      </c>
      <c r="R8" s="60"/>
      <c r="S8" s="73"/>
    </row>
    <row r="9" ht="22.5" customHeight="1" outlineLevel="1">
      <c r="A9" s="73"/>
      <c r="B9" s="97"/>
      <c r="C9" s="98"/>
      <c r="D9" s="97"/>
      <c r="E9" s="98"/>
      <c r="F9" s="97"/>
      <c r="G9" s="98"/>
      <c r="H9" s="97"/>
      <c r="I9" s="90"/>
      <c r="J9" s="78"/>
      <c r="K9" s="91">
        <f t="shared" ref="K9:Q9" si="4">if(B9="2 from Dual",2,0)+if(B9="1 from Dual",1,0)</f>
        <v>0</v>
      </c>
      <c r="L9" s="91">
        <f t="shared" si="4"/>
        <v>0</v>
      </c>
      <c r="M9" s="91">
        <f t="shared" si="4"/>
        <v>0</v>
      </c>
      <c r="N9" s="91">
        <f t="shared" si="4"/>
        <v>0</v>
      </c>
      <c r="O9" s="91">
        <f t="shared" si="4"/>
        <v>0</v>
      </c>
      <c r="P9" s="91">
        <f t="shared" si="4"/>
        <v>0</v>
      </c>
      <c r="Q9" s="91">
        <f t="shared" si="4"/>
        <v>0</v>
      </c>
      <c r="R9" s="60"/>
      <c r="S9" s="73"/>
    </row>
    <row r="10" ht="22.5" customHeight="1" outlineLevel="1">
      <c r="A10" s="73"/>
      <c r="B10" s="60"/>
      <c r="C10" s="60"/>
      <c r="D10" s="60"/>
      <c r="E10" s="60"/>
      <c r="F10" s="60"/>
      <c r="G10" s="60"/>
      <c r="H10" s="60"/>
      <c r="I10" s="60"/>
      <c r="J10" s="78"/>
      <c r="K10" s="99"/>
      <c r="L10" s="87">
        <f t="shared" ref="L10:P10" si="5">hlookup(L11,$K$3:$O$4,2,0)/100</f>
        <v>0.16</v>
      </c>
      <c r="M10" s="87">
        <f t="shared" si="5"/>
        <v>0.15</v>
      </c>
      <c r="N10" s="87">
        <f t="shared" si="5"/>
        <v>0.15</v>
      </c>
      <c r="O10" s="87">
        <f t="shared" si="5"/>
        <v>0.15</v>
      </c>
      <c r="P10" s="87">
        <f t="shared" si="5"/>
        <v>0.16</v>
      </c>
      <c r="Q10" s="99"/>
      <c r="R10" s="60"/>
      <c r="S10" s="73"/>
    </row>
    <row r="11" ht="22.5" customHeight="1" outlineLevel="1">
      <c r="A11" s="73"/>
      <c r="B11" s="100"/>
      <c r="C11" s="88" t="s">
        <v>50</v>
      </c>
      <c r="D11" s="89" t="s">
        <v>63</v>
      </c>
      <c r="E11" s="88" t="s">
        <v>47</v>
      </c>
      <c r="F11" s="89" t="s">
        <v>48</v>
      </c>
      <c r="G11" s="88" t="s">
        <v>49</v>
      </c>
      <c r="H11" s="90"/>
      <c r="I11" s="90"/>
      <c r="J11" s="78"/>
      <c r="K11" s="100"/>
      <c r="L11" s="91" t="str">
        <f>C11</f>
        <v>WR</v>
      </c>
      <c r="M11" s="101" t="s">
        <v>48</v>
      </c>
      <c r="N11" s="91" t="s">
        <v>47</v>
      </c>
      <c r="O11" s="101" t="s">
        <v>48</v>
      </c>
      <c r="P11" s="91" t="s">
        <v>49</v>
      </c>
      <c r="Q11" s="90"/>
      <c r="R11" s="102"/>
      <c r="S11" s="73"/>
    </row>
    <row r="12" ht="22.5" customHeight="1" outlineLevel="1">
      <c r="A12" s="73"/>
      <c r="B12" s="90"/>
      <c r="C12" s="92">
        <v>120.0</v>
      </c>
      <c r="D12" s="93">
        <v>119.0</v>
      </c>
      <c r="E12" s="92">
        <v>118.0</v>
      </c>
      <c r="F12" s="93">
        <v>119.0</v>
      </c>
      <c r="G12" s="113">
        <v>140.0</v>
      </c>
      <c r="H12" s="90"/>
      <c r="I12" s="90"/>
      <c r="J12" s="78"/>
      <c r="K12" s="90"/>
      <c r="L12" s="94">
        <f t="shared" ref="L12:P12" si="6">(C12-L13-L14)/(1+L10)</f>
        <v>103.4482759</v>
      </c>
      <c r="M12" s="94">
        <f t="shared" si="6"/>
        <v>103.4782609</v>
      </c>
      <c r="N12" s="94">
        <f t="shared" si="6"/>
        <v>102.6086957</v>
      </c>
      <c r="O12" s="94">
        <f t="shared" si="6"/>
        <v>103.4782609</v>
      </c>
      <c r="P12" s="94">
        <f t="shared" si="6"/>
        <v>114.6551724</v>
      </c>
      <c r="Q12" s="90"/>
      <c r="R12" s="102"/>
      <c r="S12" s="73"/>
    </row>
    <row r="13" ht="22.5" customHeight="1" outlineLevel="1">
      <c r="A13" s="73"/>
      <c r="B13" s="100"/>
      <c r="C13" s="95"/>
      <c r="D13" s="96"/>
      <c r="E13" s="95"/>
      <c r="F13" s="96"/>
      <c r="G13" s="114" t="s">
        <v>62</v>
      </c>
      <c r="H13" s="90"/>
      <c r="I13" s="90"/>
      <c r="J13" s="78"/>
      <c r="K13" s="100"/>
      <c r="L13" s="91">
        <f t="shared" ref="L13:P13" si="7">if(ISBLANK(C13)=FALSE,$P$28,0)</f>
        <v>0</v>
      </c>
      <c r="M13" s="91">
        <f t="shared" si="7"/>
        <v>0</v>
      </c>
      <c r="N13" s="91">
        <f t="shared" si="7"/>
        <v>0</v>
      </c>
      <c r="O13" s="91">
        <f t="shared" si="7"/>
        <v>0</v>
      </c>
      <c r="P13" s="91">
        <f t="shared" si="7"/>
        <v>7</v>
      </c>
      <c r="Q13" s="90"/>
      <c r="R13" s="60"/>
      <c r="S13" s="73"/>
    </row>
    <row r="14" ht="22.5" customHeight="1" outlineLevel="1">
      <c r="A14" s="73"/>
      <c r="B14" s="100"/>
      <c r="C14" s="97"/>
      <c r="D14" s="98"/>
      <c r="E14" s="97"/>
      <c r="F14" s="98"/>
      <c r="G14" s="97"/>
      <c r="H14" s="90"/>
      <c r="I14" s="90"/>
      <c r="J14" s="78"/>
      <c r="K14" s="100"/>
      <c r="L14" s="91">
        <f t="shared" ref="L14:P14" si="8">if(C14="2 from Dual",2,0)+if(C14="1 from Dual",1,0)</f>
        <v>0</v>
      </c>
      <c r="M14" s="91">
        <f t="shared" si="8"/>
        <v>0</v>
      </c>
      <c r="N14" s="91">
        <f t="shared" si="8"/>
        <v>0</v>
      </c>
      <c r="O14" s="91">
        <f t="shared" si="8"/>
        <v>0</v>
      </c>
      <c r="P14" s="91">
        <f t="shared" si="8"/>
        <v>0</v>
      </c>
      <c r="Q14" s="90"/>
      <c r="R14" s="60"/>
      <c r="S14" s="73"/>
    </row>
    <row r="15" ht="22.5" customHeight="1" outlineLevel="1">
      <c r="A15" s="73"/>
      <c r="B15" s="60"/>
      <c r="C15" s="60"/>
      <c r="D15" s="60"/>
      <c r="E15" s="60"/>
      <c r="F15" s="60"/>
      <c r="G15" s="60"/>
      <c r="H15" s="60"/>
      <c r="I15" s="60"/>
      <c r="J15" s="78"/>
      <c r="K15" s="79" t="s">
        <v>64</v>
      </c>
      <c r="L15" s="79" t="s">
        <v>65</v>
      </c>
      <c r="M15" s="79" t="s">
        <v>4</v>
      </c>
      <c r="N15" s="79" t="s">
        <v>66</v>
      </c>
      <c r="O15" s="79" t="s">
        <v>67</v>
      </c>
      <c r="P15" s="80" t="s">
        <v>52</v>
      </c>
      <c r="Q15" s="60"/>
      <c r="R15" s="60"/>
      <c r="S15" s="73"/>
    </row>
    <row r="16" ht="22.5" customHeight="1" outlineLevel="1">
      <c r="A16" s="73"/>
      <c r="B16" s="74" t="s">
        <v>68</v>
      </c>
      <c r="C16" s="84" t="s">
        <v>54</v>
      </c>
      <c r="D16" s="85">
        <v>30.0</v>
      </c>
      <c r="E16" s="74"/>
      <c r="F16" s="74"/>
      <c r="G16" s="74"/>
      <c r="H16" s="74"/>
      <c r="I16" s="74"/>
      <c r="J16" s="78"/>
      <c r="K16" s="79">
        <f>vlookup($D$16,'Boost Data'!$J$1:$O$52,2,0)</f>
        <v>12</v>
      </c>
      <c r="L16" s="79">
        <f>vlookup($D$16,'Boost Data'!$J$1:$O$52,2,0)</f>
        <v>12</v>
      </c>
      <c r="M16" s="79">
        <f>vlookup($D$16,'Boost Data'!$J$1:$O$52,2,0)</f>
        <v>12</v>
      </c>
      <c r="N16" s="79">
        <f>vlookup($D$16,'Boost Data'!$J$1:$O$52,2,0)</f>
        <v>12</v>
      </c>
      <c r="O16" s="79">
        <f>vlookup($D$16,'Boost Data'!$J$1:$O$52,2,0)</f>
        <v>12</v>
      </c>
      <c r="P16" s="86">
        <f>VLOOKUP(D16,'Boost Data'!$J$1:$P$52,7,0)</f>
        <v>46750</v>
      </c>
      <c r="Q16" s="60"/>
      <c r="R16" s="60"/>
      <c r="S16" s="73"/>
    </row>
    <row r="17" ht="22.5" customHeight="1" outlineLevel="1">
      <c r="A17" s="73"/>
      <c r="B17" s="60"/>
      <c r="C17" s="60"/>
      <c r="D17" s="60"/>
      <c r="E17" s="60"/>
      <c r="F17" s="60"/>
      <c r="G17" s="60"/>
      <c r="H17" s="60"/>
      <c r="I17" s="60"/>
      <c r="J17" s="78"/>
      <c r="K17" s="87">
        <f t="shared" ref="K17:R17" si="9">hlookup(K18,$K$15:$O$16,2,0)/100</f>
        <v>0.12</v>
      </c>
      <c r="L17" s="87">
        <f t="shared" si="9"/>
        <v>0.12</v>
      </c>
      <c r="M17" s="87">
        <f t="shared" si="9"/>
        <v>0.12</v>
      </c>
      <c r="N17" s="87">
        <f t="shared" si="9"/>
        <v>0.12</v>
      </c>
      <c r="O17" s="87">
        <f t="shared" si="9"/>
        <v>0.12</v>
      </c>
      <c r="P17" s="87">
        <f t="shared" si="9"/>
        <v>0.12</v>
      </c>
      <c r="Q17" s="87">
        <f t="shared" si="9"/>
        <v>0.12</v>
      </c>
      <c r="R17" s="87">
        <f t="shared" si="9"/>
        <v>0.12</v>
      </c>
      <c r="S17" s="73"/>
    </row>
    <row r="18" ht="22.5" customHeight="1" outlineLevel="1">
      <c r="A18" s="73"/>
      <c r="B18" s="88" t="s">
        <v>69</v>
      </c>
      <c r="C18" s="89" t="s">
        <v>70</v>
      </c>
      <c r="D18" s="88" t="s">
        <v>71</v>
      </c>
      <c r="E18" s="89" t="s">
        <v>72</v>
      </c>
      <c r="F18" s="88" t="s">
        <v>72</v>
      </c>
      <c r="G18" s="89" t="s">
        <v>73</v>
      </c>
      <c r="H18" s="88" t="s">
        <v>74</v>
      </c>
      <c r="I18" s="89" t="s">
        <v>75</v>
      </c>
      <c r="J18" s="78"/>
      <c r="K18" s="91" t="s">
        <v>65</v>
      </c>
      <c r="L18" s="91" t="s">
        <v>4</v>
      </c>
      <c r="M18" s="101" t="s">
        <v>64</v>
      </c>
      <c r="N18" s="101" t="s">
        <v>64</v>
      </c>
      <c r="O18" s="101" t="s">
        <v>64</v>
      </c>
      <c r="P18" s="101" t="s">
        <v>64</v>
      </c>
      <c r="Q18" s="91" t="s">
        <v>4</v>
      </c>
      <c r="R18" s="91" t="s">
        <v>65</v>
      </c>
      <c r="S18" s="73"/>
    </row>
    <row r="19" ht="22.5" customHeight="1" outlineLevel="1">
      <c r="A19" s="73"/>
      <c r="B19" s="92">
        <v>116.0</v>
      </c>
      <c r="C19" s="93">
        <v>138.0</v>
      </c>
      <c r="D19" s="113">
        <v>123.0</v>
      </c>
      <c r="E19" s="93">
        <v>116.0</v>
      </c>
      <c r="F19" s="113">
        <v>123.0</v>
      </c>
      <c r="G19" s="93">
        <v>103.0</v>
      </c>
      <c r="H19" s="92">
        <v>116.0</v>
      </c>
      <c r="I19" s="93">
        <v>116.0</v>
      </c>
      <c r="J19" s="78"/>
      <c r="K19" s="94">
        <f t="shared" ref="K19:R19" si="10">(B19-K20-K21)/(1+K17)</f>
        <v>103.5714286</v>
      </c>
      <c r="L19" s="94">
        <f t="shared" si="10"/>
        <v>116.9642857</v>
      </c>
      <c r="M19" s="94">
        <f t="shared" si="10"/>
        <v>109.8214286</v>
      </c>
      <c r="N19" s="94">
        <f t="shared" si="10"/>
        <v>103.5714286</v>
      </c>
      <c r="O19" s="94">
        <f t="shared" si="10"/>
        <v>109.8214286</v>
      </c>
      <c r="P19" s="94">
        <f t="shared" si="10"/>
        <v>91.96428571</v>
      </c>
      <c r="Q19" s="94">
        <f t="shared" si="10"/>
        <v>103.5714286</v>
      </c>
      <c r="R19" s="94">
        <f t="shared" si="10"/>
        <v>103.5714286</v>
      </c>
      <c r="S19" s="73"/>
    </row>
    <row r="20" ht="22.5" customHeight="1" outlineLevel="1">
      <c r="A20" s="73"/>
      <c r="B20" s="95"/>
      <c r="C20" s="96" t="s">
        <v>62</v>
      </c>
      <c r="D20" s="95"/>
      <c r="E20" s="96"/>
      <c r="F20" s="95"/>
      <c r="G20" s="96"/>
      <c r="H20" s="95"/>
      <c r="I20" s="96"/>
      <c r="J20" s="78"/>
      <c r="K20" s="91">
        <f t="shared" ref="K20:R20" si="11">if(ISBLANK(B20)=FALSE,$P$28,0)</f>
        <v>0</v>
      </c>
      <c r="L20" s="91">
        <f t="shared" si="11"/>
        <v>7</v>
      </c>
      <c r="M20" s="91">
        <f t="shared" si="11"/>
        <v>0</v>
      </c>
      <c r="N20" s="91">
        <f t="shared" si="11"/>
        <v>0</v>
      </c>
      <c r="O20" s="91">
        <f t="shared" si="11"/>
        <v>0</v>
      </c>
      <c r="P20" s="91">
        <f t="shared" si="11"/>
        <v>0</v>
      </c>
      <c r="Q20" s="91">
        <f t="shared" si="11"/>
        <v>0</v>
      </c>
      <c r="R20" s="91">
        <f t="shared" si="11"/>
        <v>0</v>
      </c>
      <c r="S20" s="73"/>
    </row>
    <row r="21" ht="22.5" customHeight="1" outlineLevel="1">
      <c r="A21" s="73"/>
      <c r="B21" s="97"/>
      <c r="C21" s="98"/>
      <c r="D21" s="97"/>
      <c r="E21" s="98"/>
      <c r="F21" s="97"/>
      <c r="G21" s="98"/>
      <c r="H21" s="97"/>
      <c r="I21" s="98"/>
      <c r="J21" s="78"/>
      <c r="K21" s="91">
        <f t="shared" ref="K21:R21" si="12">if(B21="2 from Dual",2,0)+if(B21="1 from Dual",1,0)</f>
        <v>0</v>
      </c>
      <c r="L21" s="91">
        <f t="shared" si="12"/>
        <v>0</v>
      </c>
      <c r="M21" s="91">
        <f t="shared" si="12"/>
        <v>0</v>
      </c>
      <c r="N21" s="91">
        <f t="shared" si="12"/>
        <v>0</v>
      </c>
      <c r="O21" s="91">
        <f t="shared" si="12"/>
        <v>0</v>
      </c>
      <c r="P21" s="91">
        <f t="shared" si="12"/>
        <v>0</v>
      </c>
      <c r="Q21" s="91">
        <f t="shared" si="12"/>
        <v>0</v>
      </c>
      <c r="R21" s="91">
        <f t="shared" si="12"/>
        <v>0</v>
      </c>
      <c r="S21" s="73"/>
    </row>
    <row r="22" ht="22.5" customHeight="1" outlineLevel="1">
      <c r="A22" s="73"/>
      <c r="B22" s="60"/>
      <c r="C22" s="60"/>
      <c r="D22" s="60"/>
      <c r="E22" s="60"/>
      <c r="F22" s="60"/>
      <c r="G22" s="60"/>
      <c r="H22" s="60"/>
      <c r="I22" s="60"/>
      <c r="J22" s="78"/>
      <c r="K22" s="99"/>
      <c r="L22" s="87">
        <f t="shared" ref="L22:Q22" si="13">hlookup(L23,$K$15:$O$16,2,0)/100</f>
        <v>0.12</v>
      </c>
      <c r="M22" s="87">
        <f t="shared" si="13"/>
        <v>0.12</v>
      </c>
      <c r="N22" s="87">
        <f t="shared" si="13"/>
        <v>0.12</v>
      </c>
      <c r="O22" s="87">
        <f t="shared" si="13"/>
        <v>0.12</v>
      </c>
      <c r="P22" s="87">
        <f t="shared" si="13"/>
        <v>0.12</v>
      </c>
      <c r="Q22" s="87">
        <f t="shared" si="13"/>
        <v>0.12</v>
      </c>
      <c r="R22" s="99"/>
      <c r="S22" s="73"/>
    </row>
    <row r="23" ht="22.5" customHeight="1" outlineLevel="1">
      <c r="A23" s="73"/>
      <c r="B23" s="60"/>
      <c r="C23" s="88" t="s">
        <v>65</v>
      </c>
      <c r="D23" s="89" t="s">
        <v>67</v>
      </c>
      <c r="E23" s="88" t="s">
        <v>66</v>
      </c>
      <c r="F23" s="89" t="s">
        <v>66</v>
      </c>
      <c r="G23" s="88" t="s">
        <v>67</v>
      </c>
      <c r="H23" s="89" t="s">
        <v>65</v>
      </c>
      <c r="I23" s="60"/>
      <c r="J23" s="78"/>
      <c r="K23" s="100"/>
      <c r="L23" s="91" t="str">
        <f t="shared" ref="L23:Q23" si="14">C23</f>
        <v>CB</v>
      </c>
      <c r="M23" s="91" t="str">
        <f t="shared" si="14"/>
        <v>DE</v>
      </c>
      <c r="N23" s="91" t="str">
        <f t="shared" si="14"/>
        <v>DT</v>
      </c>
      <c r="O23" s="91" t="str">
        <f t="shared" si="14"/>
        <v>DT</v>
      </c>
      <c r="P23" s="91" t="str">
        <f t="shared" si="14"/>
        <v>DE</v>
      </c>
      <c r="Q23" s="91" t="str">
        <f t="shared" si="14"/>
        <v>CB</v>
      </c>
      <c r="R23" s="60"/>
      <c r="S23" s="73"/>
    </row>
    <row r="24" ht="22.5" customHeight="1" outlineLevel="1">
      <c r="A24" s="73"/>
      <c r="B24" s="60"/>
      <c r="C24" s="113">
        <v>123.0</v>
      </c>
      <c r="D24" s="93">
        <v>115.0</v>
      </c>
      <c r="E24" s="92">
        <v>136.0</v>
      </c>
      <c r="F24" s="93">
        <v>115.0</v>
      </c>
      <c r="G24" s="92">
        <v>102.0</v>
      </c>
      <c r="H24" s="115">
        <v>102.0</v>
      </c>
      <c r="I24" s="60"/>
      <c r="J24" s="78"/>
      <c r="K24" s="99"/>
      <c r="L24" s="94">
        <f t="shared" ref="L24:Q24" si="15">(C24-L25-L26)/(1+L22)</f>
        <v>109.8214286</v>
      </c>
      <c r="M24" s="94">
        <f t="shared" si="15"/>
        <v>102.6785714</v>
      </c>
      <c r="N24" s="94">
        <f t="shared" si="15"/>
        <v>115.1785714</v>
      </c>
      <c r="O24" s="94">
        <f t="shared" si="15"/>
        <v>102.6785714</v>
      </c>
      <c r="P24" s="94">
        <f t="shared" si="15"/>
        <v>91.07142857</v>
      </c>
      <c r="Q24" s="94">
        <f t="shared" si="15"/>
        <v>91.07142857</v>
      </c>
      <c r="R24" s="60"/>
      <c r="S24" s="73"/>
    </row>
    <row r="25" ht="22.5" customHeight="1" outlineLevel="1">
      <c r="A25" s="73"/>
      <c r="B25" s="60"/>
      <c r="C25" s="95"/>
      <c r="D25" s="96"/>
      <c r="E25" s="95" t="s">
        <v>62</v>
      </c>
      <c r="F25" s="96"/>
      <c r="G25" s="95"/>
      <c r="H25" s="96"/>
      <c r="I25" s="60"/>
      <c r="J25" s="78"/>
      <c r="K25" s="90"/>
      <c r="L25" s="91">
        <f t="shared" ref="L25:Q25" si="16">if(ISBLANK(C25)=FALSE,$P$28,0)</f>
        <v>0</v>
      </c>
      <c r="M25" s="91">
        <f t="shared" si="16"/>
        <v>0</v>
      </c>
      <c r="N25" s="91">
        <f t="shared" si="16"/>
        <v>7</v>
      </c>
      <c r="O25" s="91">
        <f t="shared" si="16"/>
        <v>0</v>
      </c>
      <c r="P25" s="91">
        <f t="shared" si="16"/>
        <v>0</v>
      </c>
      <c r="Q25" s="91">
        <f t="shared" si="16"/>
        <v>0</v>
      </c>
      <c r="R25" s="60"/>
      <c r="S25" s="73"/>
    </row>
    <row r="26" ht="22.5" customHeight="1" outlineLevel="1">
      <c r="A26" s="73"/>
      <c r="B26" s="60"/>
      <c r="C26" s="97"/>
      <c r="D26" s="98"/>
      <c r="E26" s="97"/>
      <c r="F26" s="98"/>
      <c r="G26" s="97"/>
      <c r="H26" s="98"/>
      <c r="I26" s="60"/>
      <c r="J26" s="78"/>
      <c r="K26" s="90"/>
      <c r="L26" s="91">
        <f t="shared" ref="L26:Q26" si="17">if(C26="2 from Dual",2,0)+if(C26="1 from Dual",1,0)</f>
        <v>0</v>
      </c>
      <c r="M26" s="91">
        <f t="shared" si="17"/>
        <v>0</v>
      </c>
      <c r="N26" s="91">
        <f t="shared" si="17"/>
        <v>0</v>
      </c>
      <c r="O26" s="91">
        <f t="shared" si="17"/>
        <v>0</v>
      </c>
      <c r="P26" s="91">
        <f t="shared" si="17"/>
        <v>0</v>
      </c>
      <c r="Q26" s="91">
        <f t="shared" si="17"/>
        <v>0</v>
      </c>
      <c r="R26" s="60"/>
      <c r="S26" s="73"/>
    </row>
    <row r="27" ht="22.5" customHeight="1" outlineLevel="1">
      <c r="A27" s="73"/>
      <c r="B27" s="60"/>
      <c r="C27" s="60"/>
      <c r="D27" s="60"/>
      <c r="E27" s="60"/>
      <c r="F27" s="60"/>
      <c r="G27" s="60"/>
      <c r="H27" s="60"/>
      <c r="I27" s="60"/>
      <c r="J27" s="78"/>
      <c r="K27" s="103" t="s">
        <v>76</v>
      </c>
      <c r="L27" s="103" t="s">
        <v>77</v>
      </c>
      <c r="M27" s="103" t="s">
        <v>78</v>
      </c>
      <c r="N27" s="103" t="s">
        <v>79</v>
      </c>
      <c r="O27" s="80" t="s">
        <v>52</v>
      </c>
      <c r="P27" s="104" t="s">
        <v>80</v>
      </c>
      <c r="Q27" s="104" t="s">
        <v>81</v>
      </c>
      <c r="R27" s="104" t="s">
        <v>82</v>
      </c>
      <c r="S27" s="73"/>
    </row>
    <row r="28" ht="22.5" customHeight="1" outlineLevel="1">
      <c r="A28" s="73"/>
      <c r="B28" s="74" t="s">
        <v>83</v>
      </c>
      <c r="C28" s="84" t="s">
        <v>54</v>
      </c>
      <c r="D28" s="85">
        <v>30.0</v>
      </c>
      <c r="E28" s="74"/>
      <c r="F28" s="74"/>
      <c r="G28" s="74"/>
      <c r="H28" s="74"/>
      <c r="I28" s="74"/>
      <c r="J28" s="78"/>
      <c r="K28" s="79">
        <f>vlookup($D$28,'Boost Data'!$S$1:$W$52,2,0)</f>
        <v>12</v>
      </c>
      <c r="L28" s="79">
        <f>vlookup($D$28,'Boost Data'!$S$1:$W$52,2,0)</f>
        <v>12</v>
      </c>
      <c r="M28" s="79">
        <f>vlookup($D$28,'Boost Data'!$S$1:$W$52,2,0)</f>
        <v>12</v>
      </c>
      <c r="N28" s="79">
        <f>vlookup($D$28,'Boost Data'!$S$1:$W$52,2,0)</f>
        <v>12</v>
      </c>
      <c r="O28" s="86">
        <f>VLOOKUP(D28,'Boost Data'!$S$1:$X$52,6,0)</f>
        <v>14380</v>
      </c>
      <c r="P28" s="105">
        <f>Countif($B$3:$I$33, "Mythic +1")</f>
        <v>7</v>
      </c>
      <c r="Q28" s="105"/>
      <c r="R28" s="105"/>
      <c r="S28" s="73"/>
    </row>
    <row r="29" ht="22.5" customHeight="1" outlineLevel="1">
      <c r="A29" s="73"/>
      <c r="B29" s="60"/>
      <c r="C29" s="60"/>
      <c r="D29" s="60"/>
      <c r="E29" s="60"/>
      <c r="F29" s="60"/>
      <c r="G29" s="60"/>
      <c r="H29" s="60"/>
      <c r="I29" s="60"/>
      <c r="J29" s="78"/>
      <c r="K29" s="60"/>
      <c r="L29" s="60"/>
      <c r="M29" s="87">
        <f t="shared" ref="M29:P29" si="18">hlookup(M30,$K$27:$N$28,2,0)/100</f>
        <v>0.12</v>
      </c>
      <c r="N29" s="87">
        <f t="shared" si="18"/>
        <v>0.12</v>
      </c>
      <c r="O29" s="87">
        <f t="shared" si="18"/>
        <v>0.12</v>
      </c>
      <c r="P29" s="87">
        <f t="shared" si="18"/>
        <v>0.12</v>
      </c>
      <c r="Q29" s="60"/>
      <c r="R29" s="60"/>
      <c r="S29" s="73"/>
    </row>
    <row r="30" ht="22.5" customHeight="1" outlineLevel="1">
      <c r="A30" s="73"/>
      <c r="D30" s="88" t="s">
        <v>76</v>
      </c>
      <c r="E30" s="89" t="s">
        <v>77</v>
      </c>
      <c r="F30" s="88" t="s">
        <v>78</v>
      </c>
      <c r="G30" s="89" t="s">
        <v>79</v>
      </c>
      <c r="H30" s="60"/>
      <c r="I30" s="60"/>
      <c r="J30" s="78"/>
      <c r="K30" s="60"/>
      <c r="L30" s="60"/>
      <c r="M30" s="91" t="str">
        <f t="shared" ref="M30:P30" si="19">D30</f>
        <v>K</v>
      </c>
      <c r="N30" s="91" t="str">
        <f t="shared" si="19"/>
        <v>KR</v>
      </c>
      <c r="O30" s="91" t="str">
        <f t="shared" si="19"/>
        <v>P</v>
      </c>
      <c r="P30" s="91" t="str">
        <f t="shared" si="19"/>
        <v>PR</v>
      </c>
      <c r="Q30" s="60"/>
      <c r="R30" s="60"/>
      <c r="S30" s="73"/>
    </row>
    <row r="31" ht="22.5" customHeight="1" outlineLevel="1">
      <c r="A31" s="73"/>
      <c r="D31" s="92">
        <v>102.4</v>
      </c>
      <c r="E31" s="93">
        <v>136.0</v>
      </c>
      <c r="F31" s="92">
        <v>102.2</v>
      </c>
      <c r="G31" s="115">
        <v>102.0</v>
      </c>
      <c r="H31" s="60"/>
      <c r="I31" s="60"/>
      <c r="J31" s="78"/>
      <c r="K31" s="60"/>
      <c r="L31" s="60"/>
      <c r="M31" s="94">
        <f t="shared" ref="M31:P31" si="20">(D31-M32-M33)/(1+M29)</f>
        <v>91.42857143</v>
      </c>
      <c r="N31" s="94">
        <f t="shared" si="20"/>
        <v>115.1785714</v>
      </c>
      <c r="O31" s="94">
        <f t="shared" si="20"/>
        <v>91.25</v>
      </c>
      <c r="P31" s="94">
        <f t="shared" si="20"/>
        <v>91.07142857</v>
      </c>
      <c r="Q31" s="60"/>
      <c r="R31" s="60"/>
      <c r="S31" s="73"/>
    </row>
    <row r="32" ht="22.5" customHeight="1" outlineLevel="1">
      <c r="A32" s="73"/>
      <c r="D32" s="95"/>
      <c r="E32" s="96" t="s">
        <v>62</v>
      </c>
      <c r="F32" s="95"/>
      <c r="G32" s="96"/>
      <c r="H32" s="60"/>
      <c r="I32" s="60"/>
      <c r="J32" s="78"/>
      <c r="K32" s="60"/>
      <c r="L32" s="60"/>
      <c r="M32" s="91">
        <f t="shared" ref="M32:P32" si="21">if(ISBLANK(D32)=FALSE,$P$28,0)</f>
        <v>0</v>
      </c>
      <c r="N32" s="91">
        <f t="shared" si="21"/>
        <v>7</v>
      </c>
      <c r="O32" s="91">
        <f t="shared" si="21"/>
        <v>0</v>
      </c>
      <c r="P32" s="91">
        <f t="shared" si="21"/>
        <v>0</v>
      </c>
      <c r="Q32" s="60"/>
      <c r="R32" s="106" t="s">
        <v>84</v>
      </c>
      <c r="S32" s="73"/>
    </row>
    <row r="33" ht="22.5" customHeight="1" outlineLevel="1">
      <c r="A33" s="73"/>
      <c r="D33" s="97"/>
      <c r="E33" s="98"/>
      <c r="F33" s="97"/>
      <c r="G33" s="98"/>
      <c r="H33" s="60"/>
      <c r="I33" s="60"/>
      <c r="J33" s="78"/>
      <c r="K33" s="60"/>
      <c r="L33" s="60"/>
      <c r="M33" s="91">
        <f t="shared" ref="M33:P33" si="22">if(D33="2 from Dual",2,0)+if(D33="1 from Dual",1,0)</f>
        <v>0</v>
      </c>
      <c r="N33" s="91">
        <f t="shared" si="22"/>
        <v>0</v>
      </c>
      <c r="O33" s="91">
        <f t="shared" si="22"/>
        <v>0</v>
      </c>
      <c r="P33" s="91">
        <f t="shared" si="22"/>
        <v>0</v>
      </c>
      <c r="Q33" s="60"/>
      <c r="R33" s="105">
        <f>I2*P28</f>
        <v>14</v>
      </c>
      <c r="S33" s="73"/>
    </row>
    <row r="34" ht="22.5" customHeight="1" outlineLevel="1">
      <c r="A34" s="73"/>
      <c r="B34" s="60"/>
      <c r="C34" s="60"/>
      <c r="D34" s="60"/>
      <c r="E34" s="60"/>
      <c r="F34" s="60"/>
      <c r="G34" s="60"/>
      <c r="H34" s="60"/>
      <c r="I34" s="60"/>
      <c r="J34" s="78"/>
      <c r="K34" s="60"/>
      <c r="L34" s="60"/>
      <c r="M34" s="60"/>
      <c r="N34" s="60"/>
      <c r="O34" s="60"/>
      <c r="P34" s="60"/>
      <c r="Q34" s="60"/>
      <c r="R34" s="60"/>
      <c r="S34" s="73"/>
    </row>
    <row r="35" ht="22.5" customHeight="1">
      <c r="A35" s="73"/>
      <c r="B35" s="81" t="s">
        <v>85</v>
      </c>
      <c r="J35" s="78"/>
      <c r="K35" s="106">
        <v>2.0</v>
      </c>
      <c r="L35" s="106">
        <v>3.0</v>
      </c>
      <c r="M35" s="106">
        <v>4.0</v>
      </c>
      <c r="N35" s="106">
        <v>5.0</v>
      </c>
      <c r="O35" s="106">
        <v>6.0</v>
      </c>
      <c r="P35" s="60"/>
      <c r="Q35" s="60"/>
      <c r="R35" s="60"/>
      <c r="S35" s="73"/>
    </row>
    <row r="36" ht="22.5" customHeight="1">
      <c r="A36" s="73"/>
      <c r="B36" s="74" t="s">
        <v>53</v>
      </c>
      <c r="C36" s="74"/>
      <c r="D36" s="74"/>
      <c r="E36" s="74"/>
      <c r="F36" s="74"/>
      <c r="G36" s="74"/>
      <c r="H36" s="77" t="s">
        <v>86</v>
      </c>
      <c r="I36" s="74"/>
      <c r="J36" s="78"/>
      <c r="K36" s="79" t="s">
        <v>47</v>
      </c>
      <c r="L36" s="79" t="s">
        <v>48</v>
      </c>
      <c r="M36" s="79" t="s">
        <v>49</v>
      </c>
      <c r="N36" s="79" t="s">
        <v>50</v>
      </c>
      <c r="O36" s="79" t="s">
        <v>51</v>
      </c>
      <c r="P36" s="80" t="s">
        <v>52</v>
      </c>
      <c r="Q36" s="60"/>
      <c r="R36" s="60"/>
      <c r="S36" s="73"/>
    </row>
    <row r="37" ht="22.5" customHeight="1">
      <c r="A37" s="73"/>
      <c r="B37" s="99" t="s">
        <v>47</v>
      </c>
      <c r="C37" s="99" t="s">
        <v>48</v>
      </c>
      <c r="D37" s="99" t="s">
        <v>49</v>
      </c>
      <c r="E37" s="99" t="s">
        <v>50</v>
      </c>
      <c r="F37" s="99" t="s">
        <v>51</v>
      </c>
      <c r="H37" s="107">
        <v>40.0</v>
      </c>
      <c r="I37" s="60"/>
      <c r="J37" s="78"/>
      <c r="K37" s="79">
        <f>vlookup($H$37,'Boost Data'!$A$1:$F$52,K$35,0)</f>
        <v>16</v>
      </c>
      <c r="L37" s="79">
        <f>vlookup($H$37,'Boost Data'!$A$1:$F$52,L35,0)</f>
        <v>16</v>
      </c>
      <c r="M37" s="79">
        <f>vlookup($H$37,'Boost Data'!$A$1:$F$52,M35,0)</f>
        <v>16</v>
      </c>
      <c r="N37" s="79">
        <f>vlookup($H$37,'Boost Data'!$A$1:$F$52,N35,0)</f>
        <v>16</v>
      </c>
      <c r="O37" s="79">
        <f>vlookup($H$37,'Boost Data'!$A$1:$F$52,O35,0)</f>
        <v>16</v>
      </c>
      <c r="P37" s="86">
        <f>VLOOKUP(H37,'Boost Data'!$A$1:$G$52,7,0)</f>
        <v>117960</v>
      </c>
      <c r="Q37" s="60"/>
      <c r="R37" s="60"/>
      <c r="S37" s="73"/>
    </row>
    <row r="38" ht="22.5" customHeight="1">
      <c r="A38" s="73"/>
      <c r="B38" s="108" t="str">
        <f t="shared" ref="B38:F38" si="23">K4&amp;"% ⏩ "&amp;K37&amp;"%"</f>
        <v>15% ⏩ 16%</v>
      </c>
      <c r="C38" s="109" t="str">
        <f t="shared" si="23"/>
        <v>15% ⏩ 16%</v>
      </c>
      <c r="D38" s="108" t="str">
        <f t="shared" si="23"/>
        <v>16% ⏩ 16%</v>
      </c>
      <c r="E38" s="109" t="str">
        <f t="shared" si="23"/>
        <v>16% ⏩ 16%</v>
      </c>
      <c r="F38" s="108" t="str">
        <f t="shared" si="23"/>
        <v>16% ⏩ 16%</v>
      </c>
      <c r="G38" s="60"/>
      <c r="I38" s="60"/>
      <c r="J38" s="78"/>
      <c r="K38" s="110">
        <f>hlookup(K39,$K36:$O37,2,0)</f>
        <v>16</v>
      </c>
      <c r="L38" s="110">
        <f>hlookup(L39,$K$36:$O$37,2,0)</f>
        <v>16</v>
      </c>
      <c r="M38" s="110">
        <f t="shared" ref="M38:Q38" si="24">hlookup(M39,$K36:$O37,2,0)</f>
        <v>16</v>
      </c>
      <c r="N38" s="110">
        <f t="shared" si="24"/>
        <v>16</v>
      </c>
      <c r="O38" s="110">
        <f t="shared" si="24"/>
        <v>16</v>
      </c>
      <c r="P38" s="110">
        <f t="shared" si="24"/>
        <v>16</v>
      </c>
      <c r="Q38" s="110">
        <f t="shared" si="24"/>
        <v>16</v>
      </c>
      <c r="R38" s="110"/>
      <c r="S38" s="73"/>
    </row>
    <row r="39" ht="22.5" customHeight="1">
      <c r="A39" s="73"/>
      <c r="B39" s="54"/>
      <c r="C39" s="53"/>
      <c r="D39" s="53"/>
      <c r="E39" s="53"/>
      <c r="F39" s="53"/>
      <c r="G39" s="60"/>
      <c r="H39" s="60"/>
      <c r="I39" s="60"/>
      <c r="J39" s="78"/>
      <c r="K39" s="91" t="str">
        <f t="shared" ref="K39:Q39" si="25">K6</f>
        <v>WR</v>
      </c>
      <c r="L39" s="91" t="str">
        <f t="shared" si="25"/>
        <v>C/OG/OT</v>
      </c>
      <c r="M39" s="91" t="str">
        <f t="shared" si="25"/>
        <v>C/OG/OT</v>
      </c>
      <c r="N39" s="91" t="str">
        <f t="shared" si="25"/>
        <v>C/OG/OT</v>
      </c>
      <c r="O39" s="91" t="str">
        <f t="shared" si="25"/>
        <v>C/OG/OT</v>
      </c>
      <c r="P39" s="91" t="str">
        <f t="shared" si="25"/>
        <v>C/OG/OT</v>
      </c>
      <c r="Q39" s="91" t="str">
        <f t="shared" si="25"/>
        <v>WR</v>
      </c>
      <c r="R39" s="60"/>
      <c r="S39" s="73"/>
    </row>
    <row r="40" ht="22.5" customHeight="1">
      <c r="A40" s="73"/>
      <c r="B40" s="74" t="s">
        <v>68</v>
      </c>
      <c r="C40" s="74"/>
      <c r="D40" s="74"/>
      <c r="E40" s="74"/>
      <c r="F40" s="74"/>
      <c r="G40" s="74"/>
      <c r="H40" s="77" t="s">
        <v>86</v>
      </c>
      <c r="I40" s="74"/>
      <c r="J40" s="78"/>
      <c r="K40" s="94">
        <f t="shared" ref="K40:Q40" si="26">K7+(K7*(K38/100))+K41+K42</f>
        <v>141</v>
      </c>
      <c r="L40" s="94">
        <f t="shared" si="26"/>
        <v>120</v>
      </c>
      <c r="M40" s="94">
        <f t="shared" si="26"/>
        <v>106</v>
      </c>
      <c r="N40" s="94">
        <f t="shared" si="26"/>
        <v>106</v>
      </c>
      <c r="O40" s="94">
        <f t="shared" si="26"/>
        <v>140</v>
      </c>
      <c r="P40" s="94">
        <f t="shared" si="26"/>
        <v>140</v>
      </c>
      <c r="Q40" s="94">
        <f t="shared" si="26"/>
        <v>121</v>
      </c>
      <c r="R40" s="60"/>
      <c r="S40" s="73"/>
    </row>
    <row r="41" ht="22.5" customHeight="1">
      <c r="A41" s="73"/>
      <c r="B41" s="99" t="s">
        <v>64</v>
      </c>
      <c r="C41" s="99" t="s">
        <v>65</v>
      </c>
      <c r="D41" s="99" t="s">
        <v>4</v>
      </c>
      <c r="E41" s="99" t="s">
        <v>66</v>
      </c>
      <c r="F41" s="99" t="s">
        <v>67</v>
      </c>
      <c r="G41" s="60"/>
      <c r="H41" s="107">
        <v>31.0</v>
      </c>
      <c r="I41" s="60"/>
      <c r="J41" s="78"/>
      <c r="K41" s="91">
        <f t="shared" ref="K41:Q41" si="27">if(isblank(B8),0,$P$61)</f>
        <v>7</v>
      </c>
      <c r="L41" s="91">
        <f t="shared" si="27"/>
        <v>0</v>
      </c>
      <c r="M41" s="91">
        <f t="shared" si="27"/>
        <v>0</v>
      </c>
      <c r="N41" s="91">
        <f t="shared" si="27"/>
        <v>0</v>
      </c>
      <c r="O41" s="91">
        <f t="shared" si="27"/>
        <v>7</v>
      </c>
      <c r="P41" s="91">
        <f t="shared" si="27"/>
        <v>7</v>
      </c>
      <c r="Q41" s="91">
        <f t="shared" si="27"/>
        <v>0</v>
      </c>
      <c r="R41" s="60"/>
      <c r="S41" s="73"/>
    </row>
    <row r="42" ht="22.5" customHeight="1">
      <c r="A42" s="73"/>
      <c r="B42" s="108" t="str">
        <f t="shared" ref="B42:F42" si="28">K16&amp;"% ⏩ "&amp;K49&amp;"%"</f>
        <v>12% ⏩ 13%</v>
      </c>
      <c r="C42" s="109" t="str">
        <f t="shared" si="28"/>
        <v>12% ⏩ 13%</v>
      </c>
      <c r="D42" s="108" t="str">
        <f t="shared" si="28"/>
        <v>12% ⏩ 13%</v>
      </c>
      <c r="E42" s="109" t="str">
        <f t="shared" si="28"/>
        <v>12% ⏩ 13%</v>
      </c>
      <c r="F42" s="108" t="str">
        <f t="shared" si="28"/>
        <v>12% ⏩ 13%</v>
      </c>
      <c r="G42" s="60"/>
      <c r="I42" s="60"/>
      <c r="J42" s="78"/>
      <c r="K42" s="91">
        <f t="shared" ref="K42:Q42" si="29">K9</f>
        <v>0</v>
      </c>
      <c r="L42" s="91">
        <f t="shared" si="29"/>
        <v>0</v>
      </c>
      <c r="M42" s="91">
        <f t="shared" si="29"/>
        <v>0</v>
      </c>
      <c r="N42" s="91">
        <f t="shared" si="29"/>
        <v>0</v>
      </c>
      <c r="O42" s="91">
        <f t="shared" si="29"/>
        <v>0</v>
      </c>
      <c r="P42" s="91">
        <f t="shared" si="29"/>
        <v>0</v>
      </c>
      <c r="Q42" s="91">
        <f t="shared" si="29"/>
        <v>0</v>
      </c>
      <c r="R42" s="60"/>
      <c r="S42" s="73"/>
    </row>
    <row r="43" ht="22.5" customHeight="1">
      <c r="A43" s="73"/>
      <c r="B43" s="53"/>
      <c r="C43" s="53"/>
      <c r="D43" s="53"/>
      <c r="E43" s="53"/>
      <c r="F43" s="53"/>
      <c r="G43" s="60"/>
      <c r="H43" s="60"/>
      <c r="I43" s="60"/>
      <c r="J43" s="78"/>
      <c r="K43" s="99"/>
      <c r="L43" s="110">
        <f t="shared" ref="L43:P43" si="30">hlookup(L44,$K$36:$O$37,2,0)</f>
        <v>16</v>
      </c>
      <c r="M43" s="110">
        <f t="shared" si="30"/>
        <v>16</v>
      </c>
      <c r="N43" s="110">
        <f t="shared" si="30"/>
        <v>16</v>
      </c>
      <c r="O43" s="110">
        <f t="shared" si="30"/>
        <v>16</v>
      </c>
      <c r="P43" s="110">
        <f t="shared" si="30"/>
        <v>16</v>
      </c>
      <c r="Q43" s="99"/>
      <c r="R43" s="60"/>
      <c r="S43" s="73"/>
    </row>
    <row r="44" ht="22.5" customHeight="1">
      <c r="A44" s="73"/>
      <c r="B44" s="74" t="s">
        <v>83</v>
      </c>
      <c r="C44" s="74"/>
      <c r="D44" s="74"/>
      <c r="E44" s="74"/>
      <c r="F44" s="74"/>
      <c r="G44" s="74"/>
      <c r="H44" s="77" t="s">
        <v>86</v>
      </c>
      <c r="I44" s="74"/>
      <c r="J44" s="78"/>
      <c r="K44" s="90"/>
      <c r="L44" s="91" t="str">
        <f t="shared" ref="L44:P44" si="31">L11</f>
        <v>WR</v>
      </c>
      <c r="M44" s="91" t="str">
        <f t="shared" si="31"/>
        <v>HB/FB</v>
      </c>
      <c r="N44" s="91" t="str">
        <f t="shared" si="31"/>
        <v>QB</v>
      </c>
      <c r="O44" s="91" t="str">
        <f t="shared" si="31"/>
        <v>HB/FB</v>
      </c>
      <c r="P44" s="91" t="str">
        <f t="shared" si="31"/>
        <v>TE</v>
      </c>
      <c r="Q44" s="90"/>
      <c r="R44" s="60"/>
      <c r="S44" s="73"/>
    </row>
    <row r="45" ht="22.5" customHeight="1">
      <c r="A45" s="73"/>
      <c r="B45" s="99" t="s">
        <v>76</v>
      </c>
      <c r="C45" s="99" t="s">
        <v>77</v>
      </c>
      <c r="D45" s="99" t="s">
        <v>78</v>
      </c>
      <c r="E45" s="99" t="s">
        <v>79</v>
      </c>
      <c r="F45" s="99"/>
      <c r="G45" s="60"/>
      <c r="H45" s="107">
        <v>30.0</v>
      </c>
      <c r="I45" s="60"/>
      <c r="J45" s="78"/>
      <c r="K45" s="100"/>
      <c r="L45" s="94">
        <f t="shared" ref="L45:P45" si="32">L12+(L12*(L43/100))+L46+L47</f>
        <v>120</v>
      </c>
      <c r="M45" s="94">
        <f t="shared" si="32"/>
        <v>120.0347826</v>
      </c>
      <c r="N45" s="94">
        <f t="shared" si="32"/>
        <v>119.026087</v>
      </c>
      <c r="O45" s="94">
        <f t="shared" si="32"/>
        <v>120.0347826</v>
      </c>
      <c r="P45" s="94">
        <f t="shared" si="32"/>
        <v>140</v>
      </c>
      <c r="Q45" s="90"/>
      <c r="R45" s="60"/>
      <c r="S45" s="73"/>
    </row>
    <row r="46" ht="22.5" customHeight="1">
      <c r="A46" s="73"/>
      <c r="B46" s="108" t="str">
        <f t="shared" ref="B46:E46" si="33">K28&amp;"% ⏩ "&amp;K61&amp;"%"</f>
        <v>12% ⏩ 12%</v>
      </c>
      <c r="C46" s="109" t="str">
        <f t="shared" si="33"/>
        <v>12% ⏩ 12%</v>
      </c>
      <c r="D46" s="108" t="str">
        <f t="shared" si="33"/>
        <v>12% ⏩ 12%</v>
      </c>
      <c r="E46" s="109" t="str">
        <f t="shared" si="33"/>
        <v>12% ⏩ 12%</v>
      </c>
      <c r="F46" s="53"/>
      <c r="G46" s="60"/>
      <c r="I46" s="60"/>
      <c r="J46" s="78"/>
      <c r="K46" s="100"/>
      <c r="L46" s="91">
        <f t="shared" ref="L46:P46" si="34">if(isblank(C13),0,$P$61)</f>
        <v>0</v>
      </c>
      <c r="M46" s="91">
        <f t="shared" si="34"/>
        <v>0</v>
      </c>
      <c r="N46" s="91">
        <f t="shared" si="34"/>
        <v>0</v>
      </c>
      <c r="O46" s="91">
        <f t="shared" si="34"/>
        <v>0</v>
      </c>
      <c r="P46" s="91">
        <f t="shared" si="34"/>
        <v>7</v>
      </c>
      <c r="Q46" s="90"/>
      <c r="R46" s="60"/>
      <c r="S46" s="73"/>
    </row>
    <row r="47" ht="22.5" customHeight="1">
      <c r="A47" s="73"/>
      <c r="B47" s="60"/>
      <c r="C47" s="60"/>
      <c r="D47" s="60"/>
      <c r="E47" s="60"/>
      <c r="F47" s="60"/>
      <c r="G47" s="60"/>
      <c r="H47" s="60"/>
      <c r="I47" s="60"/>
      <c r="J47" s="78"/>
      <c r="K47" s="100"/>
      <c r="L47" s="91">
        <f t="shared" ref="L47:P47" si="35">L14</f>
        <v>0</v>
      </c>
      <c r="M47" s="91">
        <f t="shared" si="35"/>
        <v>0</v>
      </c>
      <c r="N47" s="91">
        <f t="shared" si="35"/>
        <v>0</v>
      </c>
      <c r="O47" s="91">
        <f t="shared" si="35"/>
        <v>0</v>
      </c>
      <c r="P47" s="91">
        <f t="shared" si="35"/>
        <v>0</v>
      </c>
      <c r="Q47" s="90"/>
      <c r="R47" s="60"/>
      <c r="S47" s="73"/>
    </row>
    <row r="48" ht="22.5" hidden="1" customHeight="1">
      <c r="A48" s="73"/>
      <c r="B48" s="60"/>
      <c r="C48" s="60"/>
      <c r="D48" s="60"/>
      <c r="E48" s="60"/>
      <c r="F48" s="60"/>
      <c r="G48" s="60"/>
      <c r="H48" s="60"/>
      <c r="I48" s="60"/>
      <c r="J48" s="78"/>
      <c r="K48" s="79" t="s">
        <v>64</v>
      </c>
      <c r="L48" s="79" t="s">
        <v>65</v>
      </c>
      <c r="M48" s="79" t="s">
        <v>4</v>
      </c>
      <c r="N48" s="79" t="s">
        <v>66</v>
      </c>
      <c r="O48" s="79" t="s">
        <v>67</v>
      </c>
      <c r="P48" s="80" t="s">
        <v>52</v>
      </c>
      <c r="Q48" s="60"/>
      <c r="R48" s="60"/>
      <c r="S48" s="73"/>
    </row>
    <row r="49" ht="22.5" hidden="1" customHeight="1">
      <c r="A49" s="73"/>
      <c r="B49" s="60"/>
      <c r="C49" s="60"/>
      <c r="D49" s="60"/>
      <c r="E49" s="60"/>
      <c r="F49" s="60"/>
      <c r="G49" s="60"/>
      <c r="H49" s="60"/>
      <c r="I49" s="60"/>
      <c r="J49" s="78"/>
      <c r="K49" s="79">
        <f>vlookup($H$41,'Boost Data'!$J$1:$O$52,K35,0)</f>
        <v>13</v>
      </c>
      <c r="L49" s="79">
        <f>vlookup($H$41,'Boost Data'!$J$1:$O$52,L35,0)</f>
        <v>13</v>
      </c>
      <c r="M49" s="79">
        <f>vlookup($H$41,'Boost Data'!$J$1:$O$52,M35,0)</f>
        <v>13</v>
      </c>
      <c r="N49" s="79">
        <f>vlookup($H$41,'Boost Data'!$J$1:$O$52,N35,0)</f>
        <v>13</v>
      </c>
      <c r="O49" s="79">
        <f>vlookup($H$41,'Boost Data'!$J$1:$O$52,O35,0)</f>
        <v>13</v>
      </c>
      <c r="P49" s="86">
        <f>VLOOKUP(H41,'Boost Data'!$J$1:$P$52,7,0)</f>
        <v>51580</v>
      </c>
      <c r="Q49" s="60"/>
      <c r="R49" s="60"/>
      <c r="S49" s="73"/>
    </row>
    <row r="50" ht="22.5" hidden="1" customHeight="1">
      <c r="A50" s="73"/>
      <c r="B50" s="60"/>
      <c r="C50" s="60"/>
      <c r="D50" s="60"/>
      <c r="E50" s="60"/>
      <c r="F50" s="60"/>
      <c r="G50" s="60"/>
      <c r="H50" s="60"/>
      <c r="I50" s="60"/>
      <c r="J50" s="78"/>
      <c r="K50" s="110">
        <f>hlookup(K51,$K48:$O49,2,0)</f>
        <v>13</v>
      </c>
      <c r="L50" s="110">
        <f>hlookup(L51,$K$48:$O$49,2,0)</f>
        <v>13</v>
      </c>
      <c r="M50" s="110">
        <f t="shared" ref="M50:R50" si="36">hlookup(M51,$K48:$O49,2,0)</f>
        <v>13</v>
      </c>
      <c r="N50" s="110">
        <f t="shared" si="36"/>
        <v>13</v>
      </c>
      <c r="O50" s="110">
        <f t="shared" si="36"/>
        <v>13</v>
      </c>
      <c r="P50" s="110">
        <f t="shared" si="36"/>
        <v>13</v>
      </c>
      <c r="Q50" s="110">
        <f t="shared" si="36"/>
        <v>13</v>
      </c>
      <c r="R50" s="110">
        <f t="shared" si="36"/>
        <v>13</v>
      </c>
      <c r="S50" s="73"/>
    </row>
    <row r="51" ht="22.5" hidden="1" customHeight="1">
      <c r="A51" s="73"/>
      <c r="B51" s="60"/>
      <c r="C51" s="60"/>
      <c r="D51" s="60"/>
      <c r="E51" s="60"/>
      <c r="F51" s="60"/>
      <c r="G51" s="60"/>
      <c r="H51" s="60"/>
      <c r="I51" s="60"/>
      <c r="J51" s="78"/>
      <c r="K51" s="91" t="str">
        <f t="shared" ref="K51:R51" si="37">K18</f>
        <v>CB</v>
      </c>
      <c r="L51" s="91" t="str">
        <f t="shared" si="37"/>
        <v>S</v>
      </c>
      <c r="M51" s="91" t="str">
        <f t="shared" si="37"/>
        <v>LB/MLB</v>
      </c>
      <c r="N51" s="91" t="str">
        <f t="shared" si="37"/>
        <v>LB/MLB</v>
      </c>
      <c r="O51" s="91" t="str">
        <f t="shared" si="37"/>
        <v>LB/MLB</v>
      </c>
      <c r="P51" s="91" t="str">
        <f t="shared" si="37"/>
        <v>LB/MLB</v>
      </c>
      <c r="Q51" s="91" t="str">
        <f t="shared" si="37"/>
        <v>S</v>
      </c>
      <c r="R51" s="91" t="str">
        <f t="shared" si="37"/>
        <v>CB</v>
      </c>
      <c r="S51" s="73"/>
    </row>
    <row r="52" ht="22.5" hidden="1" customHeight="1">
      <c r="A52" s="73"/>
      <c r="B52" s="60"/>
      <c r="C52" s="60"/>
      <c r="D52" s="60"/>
      <c r="E52" s="60"/>
      <c r="F52" s="60"/>
      <c r="G52" s="60"/>
      <c r="H52" s="60"/>
      <c r="I52" s="60"/>
      <c r="J52" s="78"/>
      <c r="K52" s="94">
        <f t="shared" ref="K52:R52" si="38">K19+(K19*(K50/100))+K53+K54</f>
        <v>117.0357143</v>
      </c>
      <c r="L52" s="94">
        <f t="shared" si="38"/>
        <v>139.1696429</v>
      </c>
      <c r="M52" s="94">
        <f t="shared" si="38"/>
        <v>124.0982143</v>
      </c>
      <c r="N52" s="94">
        <f t="shared" si="38"/>
        <v>117.0357143</v>
      </c>
      <c r="O52" s="94">
        <f t="shared" si="38"/>
        <v>124.0982143</v>
      </c>
      <c r="P52" s="94">
        <f t="shared" si="38"/>
        <v>103.9196429</v>
      </c>
      <c r="Q52" s="94">
        <f t="shared" si="38"/>
        <v>117.0357143</v>
      </c>
      <c r="R52" s="94">
        <f t="shared" si="38"/>
        <v>117.0357143</v>
      </c>
      <c r="S52" s="73"/>
    </row>
    <row r="53" ht="22.5" hidden="1" customHeight="1">
      <c r="A53" s="73"/>
      <c r="B53" s="60"/>
      <c r="C53" s="60"/>
      <c r="D53" s="60"/>
      <c r="E53" s="60"/>
      <c r="F53" s="60"/>
      <c r="G53" s="60"/>
      <c r="H53" s="60"/>
      <c r="I53" s="60"/>
      <c r="J53" s="78"/>
      <c r="K53" s="91">
        <f t="shared" ref="K53:R53" si="39">if(isblank(B20),0,$P$61)</f>
        <v>0</v>
      </c>
      <c r="L53" s="91">
        <f t="shared" si="39"/>
        <v>7</v>
      </c>
      <c r="M53" s="91">
        <f t="shared" si="39"/>
        <v>0</v>
      </c>
      <c r="N53" s="91">
        <f t="shared" si="39"/>
        <v>0</v>
      </c>
      <c r="O53" s="91">
        <f t="shared" si="39"/>
        <v>0</v>
      </c>
      <c r="P53" s="91">
        <f t="shared" si="39"/>
        <v>0</v>
      </c>
      <c r="Q53" s="91">
        <f t="shared" si="39"/>
        <v>0</v>
      </c>
      <c r="R53" s="91">
        <f t="shared" si="39"/>
        <v>0</v>
      </c>
      <c r="S53" s="73"/>
    </row>
    <row r="54" ht="22.5" hidden="1" customHeight="1">
      <c r="A54" s="73"/>
      <c r="B54" s="60"/>
      <c r="C54" s="60"/>
      <c r="D54" s="60"/>
      <c r="E54" s="60"/>
      <c r="F54" s="60"/>
      <c r="G54" s="60"/>
      <c r="H54" s="60"/>
      <c r="I54" s="60"/>
      <c r="J54" s="78"/>
      <c r="K54" s="91">
        <f t="shared" ref="K54:R54" si="40">K21</f>
        <v>0</v>
      </c>
      <c r="L54" s="91">
        <f t="shared" si="40"/>
        <v>0</v>
      </c>
      <c r="M54" s="91">
        <f t="shared" si="40"/>
        <v>0</v>
      </c>
      <c r="N54" s="91">
        <f t="shared" si="40"/>
        <v>0</v>
      </c>
      <c r="O54" s="91">
        <f t="shared" si="40"/>
        <v>0</v>
      </c>
      <c r="P54" s="91">
        <f t="shared" si="40"/>
        <v>0</v>
      </c>
      <c r="Q54" s="91">
        <f t="shared" si="40"/>
        <v>0</v>
      </c>
      <c r="R54" s="91">
        <f t="shared" si="40"/>
        <v>0</v>
      </c>
      <c r="S54" s="73"/>
    </row>
    <row r="55" ht="22.5" hidden="1" customHeight="1">
      <c r="A55" s="73"/>
      <c r="B55" s="60"/>
      <c r="C55" s="60"/>
      <c r="D55" s="60"/>
      <c r="E55" s="60"/>
      <c r="F55" s="60"/>
      <c r="G55" s="60"/>
      <c r="H55" s="60"/>
      <c r="I55" s="60"/>
      <c r="J55" s="78"/>
      <c r="K55" s="99"/>
      <c r="L55" s="110">
        <f t="shared" ref="L55:Q55" si="41">hlookup(L56,$K$48:$O$49,2,0)</f>
        <v>13</v>
      </c>
      <c r="M55" s="110">
        <f t="shared" si="41"/>
        <v>13</v>
      </c>
      <c r="N55" s="110">
        <f t="shared" si="41"/>
        <v>13</v>
      </c>
      <c r="O55" s="110">
        <f t="shared" si="41"/>
        <v>13</v>
      </c>
      <c r="P55" s="110">
        <f t="shared" si="41"/>
        <v>13</v>
      </c>
      <c r="Q55" s="110">
        <f t="shared" si="41"/>
        <v>13</v>
      </c>
      <c r="R55" s="99"/>
      <c r="S55" s="73"/>
    </row>
    <row r="56" ht="22.5" hidden="1" customHeight="1">
      <c r="A56" s="73"/>
      <c r="B56" s="60"/>
      <c r="C56" s="60"/>
      <c r="D56" s="60"/>
      <c r="E56" s="60"/>
      <c r="F56" s="60"/>
      <c r="G56" s="60"/>
      <c r="H56" s="60"/>
      <c r="I56" s="60"/>
      <c r="J56" s="78"/>
      <c r="K56" s="99"/>
      <c r="L56" s="91" t="str">
        <f t="shared" ref="L56:Q56" si="42">L23</f>
        <v>CB</v>
      </c>
      <c r="M56" s="91" t="str">
        <f t="shared" si="42"/>
        <v>DE</v>
      </c>
      <c r="N56" s="91" t="str">
        <f t="shared" si="42"/>
        <v>DT</v>
      </c>
      <c r="O56" s="91" t="str">
        <f t="shared" si="42"/>
        <v>DT</v>
      </c>
      <c r="P56" s="91" t="str">
        <f t="shared" si="42"/>
        <v>DE</v>
      </c>
      <c r="Q56" s="91" t="str">
        <f t="shared" si="42"/>
        <v>CB</v>
      </c>
      <c r="R56" s="60"/>
      <c r="S56" s="73"/>
    </row>
    <row r="57" ht="22.5" hidden="1" customHeight="1">
      <c r="A57" s="73"/>
      <c r="B57" s="60"/>
      <c r="C57" s="60"/>
      <c r="D57" s="60"/>
      <c r="E57" s="60"/>
      <c r="F57" s="60"/>
      <c r="G57" s="60"/>
      <c r="H57" s="60"/>
      <c r="I57" s="60"/>
      <c r="J57" s="78"/>
      <c r="K57" s="90"/>
      <c r="L57" s="94">
        <f t="shared" ref="L57:Q57" si="43">L24+(L24*(L55/100))+L58+L59</f>
        <v>124.0982143</v>
      </c>
      <c r="M57" s="94">
        <f t="shared" si="43"/>
        <v>116.0267857</v>
      </c>
      <c r="N57" s="94">
        <f t="shared" si="43"/>
        <v>137.1517857</v>
      </c>
      <c r="O57" s="94">
        <f t="shared" si="43"/>
        <v>116.0267857</v>
      </c>
      <c r="P57" s="94">
        <f t="shared" si="43"/>
        <v>102.9107143</v>
      </c>
      <c r="Q57" s="94">
        <f t="shared" si="43"/>
        <v>102.9107143</v>
      </c>
      <c r="R57" s="60"/>
      <c r="S57" s="73"/>
    </row>
    <row r="58" ht="22.5" hidden="1" customHeight="1">
      <c r="A58" s="73"/>
      <c r="B58" s="60"/>
      <c r="C58" s="60"/>
      <c r="D58" s="60"/>
      <c r="E58" s="60"/>
      <c r="F58" s="60"/>
      <c r="G58" s="60"/>
      <c r="H58" s="60"/>
      <c r="I58" s="60"/>
      <c r="J58" s="78"/>
      <c r="K58" s="90"/>
      <c r="L58" s="91">
        <f t="shared" ref="L58:Q58" si="44">if(isblank(C25),0,$P$61)</f>
        <v>0</v>
      </c>
      <c r="M58" s="91">
        <f t="shared" si="44"/>
        <v>0</v>
      </c>
      <c r="N58" s="91">
        <f t="shared" si="44"/>
        <v>7</v>
      </c>
      <c r="O58" s="91">
        <f t="shared" si="44"/>
        <v>0</v>
      </c>
      <c r="P58" s="91">
        <f t="shared" si="44"/>
        <v>0</v>
      </c>
      <c r="Q58" s="91">
        <f t="shared" si="44"/>
        <v>0</v>
      </c>
      <c r="R58" s="60"/>
      <c r="S58" s="73"/>
    </row>
    <row r="59" ht="22.5" hidden="1" customHeight="1">
      <c r="A59" s="73"/>
      <c r="B59" s="60"/>
      <c r="C59" s="60"/>
      <c r="D59" s="60"/>
      <c r="E59" s="60"/>
      <c r="F59" s="60"/>
      <c r="G59" s="60"/>
      <c r="H59" s="60"/>
      <c r="I59" s="60"/>
      <c r="J59" s="78"/>
      <c r="K59" s="100"/>
      <c r="L59" s="91">
        <f t="shared" ref="L59:Q59" si="45">L26</f>
        <v>0</v>
      </c>
      <c r="M59" s="91">
        <f t="shared" si="45"/>
        <v>0</v>
      </c>
      <c r="N59" s="91">
        <f t="shared" si="45"/>
        <v>0</v>
      </c>
      <c r="O59" s="91">
        <f t="shared" si="45"/>
        <v>0</v>
      </c>
      <c r="P59" s="91">
        <f t="shared" si="45"/>
        <v>0</v>
      </c>
      <c r="Q59" s="91">
        <f t="shared" si="45"/>
        <v>0</v>
      </c>
      <c r="R59" s="60"/>
      <c r="S59" s="73"/>
    </row>
    <row r="60" ht="22.5" hidden="1" customHeight="1">
      <c r="A60" s="73"/>
      <c r="B60" s="60"/>
      <c r="C60" s="60"/>
      <c r="D60" s="60"/>
      <c r="E60" s="60"/>
      <c r="F60" s="60"/>
      <c r="G60" s="60"/>
      <c r="H60" s="60"/>
      <c r="I60" s="60"/>
      <c r="J60" s="78"/>
      <c r="K60" s="103" t="s">
        <v>76</v>
      </c>
      <c r="L60" s="103" t="s">
        <v>77</v>
      </c>
      <c r="M60" s="103" t="s">
        <v>78</v>
      </c>
      <c r="N60" s="103" t="s">
        <v>79</v>
      </c>
      <c r="O60" s="80" t="s">
        <v>52</v>
      </c>
      <c r="P60" s="104" t="s">
        <v>80</v>
      </c>
      <c r="Q60" s="104" t="s">
        <v>81</v>
      </c>
      <c r="R60" s="104" t="s">
        <v>82</v>
      </c>
      <c r="S60" s="73"/>
    </row>
    <row r="61" ht="22.5" hidden="1" customHeight="1">
      <c r="A61" s="73"/>
      <c r="B61" s="60"/>
      <c r="C61" s="60"/>
      <c r="D61" s="60"/>
      <c r="E61" s="60"/>
      <c r="F61" s="60"/>
      <c r="G61" s="60"/>
      <c r="H61" s="60"/>
      <c r="I61" s="60"/>
      <c r="J61" s="78"/>
      <c r="K61" s="79">
        <f>vlookup($H$45,'Boost Data'!$S$1:$W$52,K35,0)</f>
        <v>12</v>
      </c>
      <c r="L61" s="79">
        <f>vlookup($H$45,'Boost Data'!$S$1:$W$52,L35,0)</f>
        <v>12</v>
      </c>
      <c r="M61" s="79">
        <f>vlookup($H$45,'Boost Data'!$S$1:$W$52,M35,0)</f>
        <v>12</v>
      </c>
      <c r="N61" s="79">
        <f>vlookup($H$45,'Boost Data'!$S$1:$W$52,N35,0)</f>
        <v>12</v>
      </c>
      <c r="O61" s="86">
        <f>VLOOKUP(H45,'Boost Data'!$S$1:$X$52,6,0)</f>
        <v>14380</v>
      </c>
      <c r="P61" s="105">
        <f>Countif($B$3:$I$33, "Mythic +1")</f>
        <v>7</v>
      </c>
      <c r="Q61" s="105">
        <f>Countif($B$3:$I$33, "Dual +2")*2</f>
        <v>0</v>
      </c>
      <c r="R61" s="105">
        <f>Countif($B$3:$I$33, "Dual +1")</f>
        <v>0</v>
      </c>
      <c r="S61" s="73"/>
    </row>
    <row r="62" ht="22.5" hidden="1" customHeight="1">
      <c r="A62" s="73"/>
      <c r="B62" s="60"/>
      <c r="C62" s="60"/>
      <c r="D62" s="60"/>
      <c r="E62" s="60"/>
      <c r="F62" s="60"/>
      <c r="G62" s="60"/>
      <c r="H62" s="60"/>
      <c r="I62" s="60"/>
      <c r="J62" s="78"/>
      <c r="K62" s="60"/>
      <c r="L62" s="60"/>
      <c r="M62" s="110">
        <f t="shared" ref="M62:P62" si="46">hlookup(M63,$K$60:$N$61,2,0)</f>
        <v>12</v>
      </c>
      <c r="N62" s="110">
        <f t="shared" si="46"/>
        <v>12</v>
      </c>
      <c r="O62" s="110">
        <f t="shared" si="46"/>
        <v>12</v>
      </c>
      <c r="P62" s="110">
        <f t="shared" si="46"/>
        <v>12</v>
      </c>
      <c r="Q62" s="60"/>
      <c r="R62" s="60"/>
      <c r="S62" s="73"/>
    </row>
    <row r="63" ht="22.5" hidden="1" customHeight="1">
      <c r="A63" s="73"/>
      <c r="B63" s="60"/>
      <c r="C63" s="60"/>
      <c r="D63" s="60"/>
      <c r="E63" s="60"/>
      <c r="F63" s="60"/>
      <c r="G63" s="60"/>
      <c r="H63" s="60"/>
      <c r="I63" s="60"/>
      <c r="J63" s="78"/>
      <c r="K63" s="60"/>
      <c r="L63" s="60"/>
      <c r="M63" s="91" t="str">
        <f t="shared" ref="M63:P63" si="47">M30</f>
        <v>K</v>
      </c>
      <c r="N63" s="91" t="str">
        <f t="shared" si="47"/>
        <v>KR</v>
      </c>
      <c r="O63" s="91" t="str">
        <f t="shared" si="47"/>
        <v>P</v>
      </c>
      <c r="P63" s="91" t="str">
        <f t="shared" si="47"/>
        <v>PR</v>
      </c>
      <c r="Q63" s="60"/>
      <c r="R63" s="60"/>
      <c r="S63" s="73"/>
    </row>
    <row r="64" ht="22.5" hidden="1" customHeight="1">
      <c r="A64" s="73"/>
      <c r="B64" s="60"/>
      <c r="C64" s="60"/>
      <c r="D64" s="60"/>
      <c r="E64" s="60"/>
      <c r="F64" s="60"/>
      <c r="G64" s="60"/>
      <c r="H64" s="60"/>
      <c r="I64" s="60"/>
      <c r="J64" s="78"/>
      <c r="K64" s="60"/>
      <c r="L64" s="60"/>
      <c r="M64" s="94">
        <f t="shared" ref="M64:P64" si="48">M31+(M31*(M62/100))+M65+M66</f>
        <v>102.4</v>
      </c>
      <c r="N64" s="94">
        <f t="shared" si="48"/>
        <v>136</v>
      </c>
      <c r="O64" s="94">
        <f t="shared" si="48"/>
        <v>102.2</v>
      </c>
      <c r="P64" s="94">
        <f t="shared" si="48"/>
        <v>102</v>
      </c>
      <c r="Q64" s="60"/>
      <c r="R64" s="60"/>
      <c r="S64" s="73"/>
    </row>
    <row r="65" ht="22.5" hidden="1" customHeight="1">
      <c r="A65" s="73"/>
      <c r="B65" s="60"/>
      <c r="C65" s="60"/>
      <c r="D65" s="60"/>
      <c r="E65" s="60"/>
      <c r="F65" s="60"/>
      <c r="G65" s="60"/>
      <c r="H65" s="60"/>
      <c r="I65" s="60"/>
      <c r="J65" s="78"/>
      <c r="K65" s="60"/>
      <c r="L65" s="60"/>
      <c r="M65" s="91">
        <f t="shared" ref="M65:P65" si="49">if(isblank(D32),0,$P$61)</f>
        <v>0</v>
      </c>
      <c r="N65" s="91">
        <f t="shared" si="49"/>
        <v>7</v>
      </c>
      <c r="O65" s="91">
        <f t="shared" si="49"/>
        <v>0</v>
      </c>
      <c r="P65" s="91">
        <f t="shared" si="49"/>
        <v>0</v>
      </c>
      <c r="Q65" s="60"/>
      <c r="R65" s="60"/>
      <c r="S65" s="73"/>
    </row>
    <row r="66" ht="22.5" hidden="1" customHeight="1">
      <c r="A66" s="73"/>
      <c r="B66" s="60"/>
      <c r="C66" s="60"/>
      <c r="D66" s="60"/>
      <c r="E66" s="60"/>
      <c r="F66" s="60"/>
      <c r="G66" s="60"/>
      <c r="H66" s="60"/>
      <c r="I66" s="60"/>
      <c r="J66" s="78"/>
      <c r="K66" s="60"/>
      <c r="L66" s="60"/>
      <c r="M66" s="91">
        <f t="shared" ref="M66:P66" si="50">M33</f>
        <v>0</v>
      </c>
      <c r="N66" s="91">
        <f t="shared" si="50"/>
        <v>0</v>
      </c>
      <c r="O66" s="91">
        <f t="shared" si="50"/>
        <v>0</v>
      </c>
      <c r="P66" s="91">
        <f t="shared" si="50"/>
        <v>0</v>
      </c>
      <c r="Q66" s="60"/>
      <c r="R66" s="60"/>
      <c r="S66" s="73"/>
    </row>
    <row r="67" ht="22.5" hidden="1" customHeight="1">
      <c r="A67" s="73"/>
      <c r="B67" s="60"/>
      <c r="C67" s="60"/>
      <c r="D67" s="60"/>
      <c r="E67" s="60"/>
      <c r="F67" s="60"/>
      <c r="G67" s="60"/>
      <c r="H67" s="60"/>
      <c r="I67" s="60"/>
      <c r="J67" s="78"/>
      <c r="K67" s="60"/>
      <c r="L67" s="60"/>
      <c r="M67" s="60"/>
      <c r="N67" s="60"/>
      <c r="O67" s="60"/>
      <c r="P67" s="60"/>
      <c r="Q67" s="60"/>
      <c r="R67" s="60"/>
      <c r="S67" s="73"/>
    </row>
    <row r="68" ht="22.5" customHeight="1">
      <c r="A68" s="73"/>
      <c r="B68" s="111"/>
      <c r="C68" s="111"/>
      <c r="D68" s="111"/>
      <c r="E68" s="111"/>
      <c r="F68" s="111"/>
      <c r="G68" s="111"/>
      <c r="H68" s="111"/>
      <c r="I68" s="111"/>
      <c r="J68" s="78"/>
      <c r="K68" s="60"/>
      <c r="L68" s="60"/>
      <c r="M68" s="60"/>
      <c r="N68" s="60"/>
      <c r="O68" s="60"/>
      <c r="P68" s="60"/>
      <c r="Q68" s="60"/>
      <c r="R68" s="60"/>
      <c r="S68" s="73"/>
    </row>
  </sheetData>
  <mergeCells count="7">
    <mergeCell ref="B1:D1"/>
    <mergeCell ref="B2:D2"/>
    <mergeCell ref="B3:D3"/>
    <mergeCell ref="B35:I35"/>
    <mergeCell ref="H37:H38"/>
    <mergeCell ref="H41:H42"/>
    <mergeCell ref="H45:H46"/>
  </mergeCells>
  <conditionalFormatting sqref="F1">
    <cfRule type="cellIs" dxfId="0" priority="1" operator="greaterThanOrEqual">
      <formula>F2</formula>
    </cfRule>
  </conditionalFormatting>
  <dataValidations>
    <dataValidation type="list" allowBlank="1" showErrorMessage="1" sqref="C11">
      <formula1>"WR,TE"</formula1>
    </dataValidation>
    <dataValidation type="list" allowBlank="1" showErrorMessage="1" sqref="B8:H8 C13:G13 B20:I20 C25:H25 D32:G32">
      <formula1>"Mythic +1,Mythic +0"</formula1>
    </dataValidation>
    <dataValidation type="list" allowBlank="1" showErrorMessage="1" sqref="C23 H23">
      <formula1>"CB,S"</formula1>
    </dataValidation>
    <dataValidation type="list" allowBlank="1" showErrorMessage="1" sqref="B9:H9 C14:G14 B21:I21 C26:H26 D33:G33">
      <formula1>'Projection 1'!$R$11:$R$12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3.88"/>
    <col customWidth="1" hidden="1" min="10" max="10" width="3.88"/>
    <col hidden="1" min="11" max="18" width="12.63"/>
    <col customWidth="1" min="19" max="19" width="3.88"/>
  </cols>
  <sheetData>
    <row r="1" ht="45.0" customHeight="1">
      <c r="A1" s="65"/>
      <c r="B1" s="66" t="s">
        <v>39</v>
      </c>
      <c r="E1" s="67" t="s">
        <v>40</v>
      </c>
      <c r="F1" s="68">
        <f>sum(K40:Q40,L45:P45,K52:R52,L57:Q57,M64:P64,R33)</f>
        <v>3623.695652</v>
      </c>
      <c r="G1" s="69" t="s">
        <v>41</v>
      </c>
      <c r="H1" s="70">
        <f>sum(O61,P49,P37)-sum(O28,P16,P4)</f>
        <v>21300</v>
      </c>
      <c r="I1" s="71" t="s">
        <v>42</v>
      </c>
      <c r="J1" s="72"/>
      <c r="K1" s="53"/>
      <c r="L1" s="53"/>
      <c r="M1" s="53"/>
      <c r="N1" s="53"/>
      <c r="O1" s="53"/>
      <c r="P1" s="53"/>
      <c r="Q1" s="53"/>
      <c r="R1" s="53"/>
      <c r="S1" s="65"/>
    </row>
    <row r="2" ht="22.5" customHeight="1">
      <c r="A2" s="73"/>
      <c r="B2" s="74" t="s">
        <v>43</v>
      </c>
      <c r="E2" s="75" t="s">
        <v>44</v>
      </c>
      <c r="F2" s="76">
        <v>3600.0</v>
      </c>
      <c r="G2" s="74"/>
      <c r="H2" s="74"/>
      <c r="I2" s="77">
        <v>4.0</v>
      </c>
      <c r="J2" s="78"/>
      <c r="K2" s="79"/>
      <c r="L2" s="79"/>
      <c r="M2" s="79"/>
      <c r="N2" s="79"/>
      <c r="O2" s="79"/>
      <c r="P2" s="80"/>
      <c r="Q2" s="60"/>
      <c r="R2" s="60"/>
      <c r="S2" s="73"/>
    </row>
    <row r="3" ht="22.5" customHeight="1" outlineLevel="1">
      <c r="A3" s="73"/>
      <c r="B3" s="81" t="s">
        <v>45</v>
      </c>
      <c r="E3" s="82" t="s">
        <v>46</v>
      </c>
      <c r="F3" s="83">
        <f>SUM(B7:H7,C12:G12,B19:I19,C24:H24,D31:G31)</f>
        <v>3584.6</v>
      </c>
      <c r="G3" s="81"/>
      <c r="H3" s="81"/>
      <c r="I3" s="81"/>
      <c r="J3" s="78"/>
      <c r="K3" s="79" t="s">
        <v>47</v>
      </c>
      <c r="L3" s="79" t="s">
        <v>48</v>
      </c>
      <c r="M3" s="79" t="s">
        <v>49</v>
      </c>
      <c r="N3" s="79" t="s">
        <v>50</v>
      </c>
      <c r="O3" s="79" t="s">
        <v>51</v>
      </c>
      <c r="P3" s="80" t="s">
        <v>52</v>
      </c>
      <c r="Q3" s="60"/>
      <c r="R3" s="60"/>
      <c r="S3" s="73"/>
    </row>
    <row r="4" ht="22.5" customHeight="1" outlineLevel="1">
      <c r="A4" s="73"/>
      <c r="B4" s="74" t="s">
        <v>53</v>
      </c>
      <c r="C4" s="84" t="s">
        <v>54</v>
      </c>
      <c r="D4" s="85">
        <v>38.0</v>
      </c>
      <c r="E4" s="74"/>
      <c r="F4" s="74"/>
      <c r="G4" s="74"/>
      <c r="H4" s="74"/>
      <c r="I4" s="77"/>
      <c r="J4" s="78"/>
      <c r="K4" s="79">
        <f>vlookup($D$4,'Boost Data'!$A$1:$F$52,2,0)</f>
        <v>15</v>
      </c>
      <c r="L4" s="79">
        <f>vlookup($D$4,'Boost Data'!$A$1:$F$52,3,0)</f>
        <v>15</v>
      </c>
      <c r="M4" s="79">
        <f>vlookup($D$4,'Boost Data'!$A$1:$F$52,4,0)</f>
        <v>16</v>
      </c>
      <c r="N4" s="79">
        <f>vlookup($D$4,'Boost Data'!$A$1:$F$52,5,0)</f>
        <v>16</v>
      </c>
      <c r="O4" s="79">
        <f>vlookup($D$4,'Boost Data'!$A$1:$F$52,6,0)</f>
        <v>16</v>
      </c>
      <c r="P4" s="86">
        <f>VLOOKUP(D4,'Boost Data'!$A$1:$G$52,7,0)</f>
        <v>96660</v>
      </c>
      <c r="Q4" s="60"/>
      <c r="R4" s="60"/>
      <c r="S4" s="73"/>
    </row>
    <row r="5" ht="22.5" customHeight="1" outlineLevel="1">
      <c r="A5" s="73"/>
      <c r="B5" s="60"/>
      <c r="C5" s="60"/>
      <c r="D5" s="60"/>
      <c r="E5" s="60"/>
      <c r="F5" s="60"/>
      <c r="G5" s="60"/>
      <c r="H5" s="60"/>
      <c r="I5" s="60"/>
      <c r="J5" s="78"/>
      <c r="K5" s="87">
        <f t="shared" ref="K5:Q5" si="1">hlookup(K6,$K3:$O4,2,0)/100</f>
        <v>0.16</v>
      </c>
      <c r="L5" s="87">
        <f t="shared" si="1"/>
        <v>0.16</v>
      </c>
      <c r="M5" s="87">
        <f t="shared" si="1"/>
        <v>0.16</v>
      </c>
      <c r="N5" s="87">
        <f t="shared" si="1"/>
        <v>0.16</v>
      </c>
      <c r="O5" s="87">
        <f t="shared" si="1"/>
        <v>0.16</v>
      </c>
      <c r="P5" s="87">
        <f t="shared" si="1"/>
        <v>0.16</v>
      </c>
      <c r="Q5" s="87">
        <f t="shared" si="1"/>
        <v>0.16</v>
      </c>
      <c r="R5" s="60"/>
      <c r="S5" s="73"/>
    </row>
    <row r="6" ht="22.5" customHeight="1" outlineLevel="1">
      <c r="A6" s="73"/>
      <c r="B6" s="88" t="s">
        <v>55</v>
      </c>
      <c r="C6" s="89" t="s">
        <v>56</v>
      </c>
      <c r="D6" s="88" t="s">
        <v>57</v>
      </c>
      <c r="E6" s="89" t="s">
        <v>58</v>
      </c>
      <c r="F6" s="88" t="s">
        <v>59</v>
      </c>
      <c r="G6" s="89" t="s">
        <v>60</v>
      </c>
      <c r="H6" s="88" t="s">
        <v>61</v>
      </c>
      <c r="I6" s="90"/>
      <c r="J6" s="78"/>
      <c r="K6" s="91" t="s">
        <v>50</v>
      </c>
      <c r="L6" s="91" t="s">
        <v>51</v>
      </c>
      <c r="M6" s="91" t="s">
        <v>51</v>
      </c>
      <c r="N6" s="91" t="s">
        <v>51</v>
      </c>
      <c r="O6" s="91" t="s">
        <v>51</v>
      </c>
      <c r="P6" s="91" t="s">
        <v>51</v>
      </c>
      <c r="Q6" s="91" t="s">
        <v>50</v>
      </c>
      <c r="R6" s="60"/>
      <c r="S6" s="73"/>
    </row>
    <row r="7" ht="22.5" customHeight="1" outlineLevel="1">
      <c r="A7" s="73"/>
      <c r="B7" s="92">
        <v>141.0</v>
      </c>
      <c r="C7" s="112">
        <v>120.0</v>
      </c>
      <c r="D7" s="92">
        <v>106.0</v>
      </c>
      <c r="E7" s="93">
        <v>106.0</v>
      </c>
      <c r="F7" s="113">
        <v>140.0</v>
      </c>
      <c r="G7" s="93">
        <v>140.0</v>
      </c>
      <c r="H7" s="92">
        <v>121.0</v>
      </c>
      <c r="I7" s="90"/>
      <c r="J7" s="78"/>
      <c r="K7" s="94">
        <f t="shared" ref="K7:Q7" si="2">(B7-K8-K9)/(1+K5)</f>
        <v>113.7931034</v>
      </c>
      <c r="L7" s="94">
        <f t="shared" si="2"/>
        <v>103.4482759</v>
      </c>
      <c r="M7" s="94">
        <f t="shared" si="2"/>
        <v>91.37931034</v>
      </c>
      <c r="N7" s="94">
        <f t="shared" si="2"/>
        <v>91.37931034</v>
      </c>
      <c r="O7" s="94">
        <f t="shared" si="2"/>
        <v>112.9310345</v>
      </c>
      <c r="P7" s="94">
        <f t="shared" si="2"/>
        <v>112.9310345</v>
      </c>
      <c r="Q7" s="94">
        <f t="shared" si="2"/>
        <v>104.3103448</v>
      </c>
      <c r="R7" s="60"/>
      <c r="S7" s="73"/>
    </row>
    <row r="8" ht="22.5" customHeight="1" outlineLevel="1">
      <c r="A8" s="73"/>
      <c r="B8" s="95" t="s">
        <v>62</v>
      </c>
      <c r="C8" s="96"/>
      <c r="D8" s="95"/>
      <c r="E8" s="96"/>
      <c r="F8" s="114" t="s">
        <v>62</v>
      </c>
      <c r="G8" s="96" t="s">
        <v>62</v>
      </c>
      <c r="H8" s="95"/>
      <c r="I8" s="90"/>
      <c r="J8" s="78"/>
      <c r="K8" s="91">
        <f t="shared" ref="K8:Q8" si="3">if(ISBLANK(B8)=FALSE,$P$28,0)</f>
        <v>9</v>
      </c>
      <c r="L8" s="91">
        <f t="shared" si="3"/>
        <v>0</v>
      </c>
      <c r="M8" s="91">
        <f t="shared" si="3"/>
        <v>0</v>
      </c>
      <c r="N8" s="91">
        <f t="shared" si="3"/>
        <v>0</v>
      </c>
      <c r="O8" s="91">
        <f t="shared" si="3"/>
        <v>9</v>
      </c>
      <c r="P8" s="91">
        <f t="shared" si="3"/>
        <v>9</v>
      </c>
      <c r="Q8" s="91">
        <f t="shared" si="3"/>
        <v>0</v>
      </c>
      <c r="R8" s="60"/>
      <c r="S8" s="73"/>
    </row>
    <row r="9" ht="22.5" customHeight="1" outlineLevel="1">
      <c r="A9" s="73"/>
      <c r="B9" s="97"/>
      <c r="C9" s="98"/>
      <c r="D9" s="97"/>
      <c r="E9" s="98"/>
      <c r="F9" s="97"/>
      <c r="G9" s="98"/>
      <c r="H9" s="97"/>
      <c r="I9" s="90"/>
      <c r="J9" s="78"/>
      <c r="K9" s="91">
        <f t="shared" ref="K9:Q9" si="4">if(B9="2 from Dual",2,0)+if(B9="1 from Dual",1,0)</f>
        <v>0</v>
      </c>
      <c r="L9" s="91">
        <f t="shared" si="4"/>
        <v>0</v>
      </c>
      <c r="M9" s="91">
        <f t="shared" si="4"/>
        <v>0</v>
      </c>
      <c r="N9" s="91">
        <f t="shared" si="4"/>
        <v>0</v>
      </c>
      <c r="O9" s="91">
        <f t="shared" si="4"/>
        <v>0</v>
      </c>
      <c r="P9" s="91">
        <f t="shared" si="4"/>
        <v>0</v>
      </c>
      <c r="Q9" s="91">
        <f t="shared" si="4"/>
        <v>0</v>
      </c>
      <c r="R9" s="60"/>
      <c r="S9" s="73"/>
    </row>
    <row r="10" ht="22.5" customHeight="1" outlineLevel="1">
      <c r="A10" s="73"/>
      <c r="B10" s="60"/>
      <c r="C10" s="60"/>
      <c r="D10" s="60"/>
      <c r="E10" s="60"/>
      <c r="F10" s="60"/>
      <c r="G10" s="60"/>
      <c r="H10" s="60"/>
      <c r="I10" s="60"/>
      <c r="J10" s="78"/>
      <c r="K10" s="99"/>
      <c r="L10" s="87">
        <f t="shared" ref="L10:P10" si="5">hlookup(L11,$K$3:$O$4,2,0)/100</f>
        <v>0.16</v>
      </c>
      <c r="M10" s="87">
        <f t="shared" si="5"/>
        <v>0.15</v>
      </c>
      <c r="N10" s="87">
        <f t="shared" si="5"/>
        <v>0.15</v>
      </c>
      <c r="O10" s="87">
        <f t="shared" si="5"/>
        <v>0.15</v>
      </c>
      <c r="P10" s="87">
        <f t="shared" si="5"/>
        <v>0.16</v>
      </c>
      <c r="Q10" s="99"/>
      <c r="R10" s="60"/>
      <c r="S10" s="73"/>
    </row>
    <row r="11" ht="22.5" customHeight="1" outlineLevel="1">
      <c r="A11" s="73"/>
      <c r="B11" s="100"/>
      <c r="C11" s="88" t="s">
        <v>50</v>
      </c>
      <c r="D11" s="89" t="s">
        <v>63</v>
      </c>
      <c r="E11" s="88" t="s">
        <v>47</v>
      </c>
      <c r="F11" s="89" t="s">
        <v>48</v>
      </c>
      <c r="G11" s="88" t="s">
        <v>49</v>
      </c>
      <c r="H11" s="90"/>
      <c r="I11" s="90"/>
      <c r="J11" s="78"/>
      <c r="K11" s="100"/>
      <c r="L11" s="91" t="str">
        <f>C11</f>
        <v>WR</v>
      </c>
      <c r="M11" s="101" t="s">
        <v>48</v>
      </c>
      <c r="N11" s="91" t="s">
        <v>47</v>
      </c>
      <c r="O11" s="101" t="s">
        <v>48</v>
      </c>
      <c r="P11" s="91" t="s">
        <v>49</v>
      </c>
      <c r="Q11" s="90"/>
      <c r="R11" s="102"/>
      <c r="S11" s="73"/>
    </row>
    <row r="12" ht="22.5" customHeight="1" outlineLevel="1">
      <c r="A12" s="73"/>
      <c r="B12" s="90"/>
      <c r="C12" s="92">
        <v>120.0</v>
      </c>
      <c r="D12" s="93">
        <v>119.0</v>
      </c>
      <c r="E12" s="92">
        <v>118.0</v>
      </c>
      <c r="F12" s="93">
        <v>119.0</v>
      </c>
      <c r="G12" s="113">
        <v>140.0</v>
      </c>
      <c r="H12" s="90"/>
      <c r="I12" s="90"/>
      <c r="J12" s="78"/>
      <c r="K12" s="90"/>
      <c r="L12" s="94">
        <f t="shared" ref="L12:P12" si="6">(C12-L13-L14)/(1+L10)</f>
        <v>103.4482759</v>
      </c>
      <c r="M12" s="94">
        <f t="shared" si="6"/>
        <v>103.4782609</v>
      </c>
      <c r="N12" s="94">
        <f t="shared" si="6"/>
        <v>102.6086957</v>
      </c>
      <c r="O12" s="94">
        <f t="shared" si="6"/>
        <v>103.4782609</v>
      </c>
      <c r="P12" s="94">
        <f t="shared" si="6"/>
        <v>112.9310345</v>
      </c>
      <c r="Q12" s="90"/>
      <c r="R12" s="102"/>
      <c r="S12" s="73"/>
    </row>
    <row r="13" ht="22.5" customHeight="1" outlineLevel="1">
      <c r="A13" s="73"/>
      <c r="B13" s="100"/>
      <c r="C13" s="95"/>
      <c r="D13" s="96"/>
      <c r="E13" s="95"/>
      <c r="F13" s="96"/>
      <c r="G13" s="114" t="s">
        <v>62</v>
      </c>
      <c r="H13" s="90"/>
      <c r="I13" s="90"/>
      <c r="J13" s="78"/>
      <c r="K13" s="100"/>
      <c r="L13" s="91">
        <f t="shared" ref="L13:P13" si="7">if(ISBLANK(C13)=FALSE,$P$28,0)</f>
        <v>0</v>
      </c>
      <c r="M13" s="91">
        <f t="shared" si="7"/>
        <v>0</v>
      </c>
      <c r="N13" s="91">
        <f t="shared" si="7"/>
        <v>0</v>
      </c>
      <c r="O13" s="91">
        <f t="shared" si="7"/>
        <v>0</v>
      </c>
      <c r="P13" s="91">
        <f t="shared" si="7"/>
        <v>9</v>
      </c>
      <c r="Q13" s="90"/>
      <c r="R13" s="60"/>
      <c r="S13" s="73"/>
    </row>
    <row r="14" ht="22.5" customHeight="1" outlineLevel="1">
      <c r="A14" s="73"/>
      <c r="B14" s="100"/>
      <c r="C14" s="97"/>
      <c r="D14" s="98"/>
      <c r="E14" s="97"/>
      <c r="F14" s="98"/>
      <c r="G14" s="97"/>
      <c r="H14" s="90"/>
      <c r="I14" s="90"/>
      <c r="J14" s="78"/>
      <c r="K14" s="100"/>
      <c r="L14" s="91">
        <f t="shared" ref="L14:P14" si="8">if(C14="2 from Dual",2,0)+if(C14="1 from Dual",1,0)</f>
        <v>0</v>
      </c>
      <c r="M14" s="91">
        <f t="shared" si="8"/>
        <v>0</v>
      </c>
      <c r="N14" s="91">
        <f t="shared" si="8"/>
        <v>0</v>
      </c>
      <c r="O14" s="91">
        <f t="shared" si="8"/>
        <v>0</v>
      </c>
      <c r="P14" s="91">
        <f t="shared" si="8"/>
        <v>0</v>
      </c>
      <c r="Q14" s="90"/>
      <c r="R14" s="60"/>
      <c r="S14" s="73"/>
    </row>
    <row r="15" ht="22.5" customHeight="1" outlineLevel="1">
      <c r="A15" s="73"/>
      <c r="B15" s="60"/>
      <c r="C15" s="60"/>
      <c r="D15" s="60"/>
      <c r="E15" s="60"/>
      <c r="F15" s="60"/>
      <c r="G15" s="60"/>
      <c r="H15" s="60"/>
      <c r="I15" s="60"/>
      <c r="J15" s="78"/>
      <c r="K15" s="79" t="s">
        <v>64</v>
      </c>
      <c r="L15" s="79" t="s">
        <v>65</v>
      </c>
      <c r="M15" s="79" t="s">
        <v>4</v>
      </c>
      <c r="N15" s="79" t="s">
        <v>66</v>
      </c>
      <c r="O15" s="79" t="s">
        <v>67</v>
      </c>
      <c r="P15" s="80" t="s">
        <v>52</v>
      </c>
      <c r="Q15" s="60"/>
      <c r="R15" s="60"/>
      <c r="S15" s="73"/>
    </row>
    <row r="16" ht="22.5" customHeight="1" outlineLevel="1">
      <c r="A16" s="73"/>
      <c r="B16" s="74" t="s">
        <v>68</v>
      </c>
      <c r="C16" s="84" t="s">
        <v>54</v>
      </c>
      <c r="D16" s="85">
        <v>30.0</v>
      </c>
      <c r="E16" s="74"/>
      <c r="F16" s="74"/>
      <c r="G16" s="74"/>
      <c r="H16" s="74"/>
      <c r="I16" s="74"/>
      <c r="J16" s="78"/>
      <c r="K16" s="79">
        <f>vlookup($D$16,'Boost Data'!$J$1:$O$52,2,0)</f>
        <v>12</v>
      </c>
      <c r="L16" s="79">
        <f>vlookup($D$16,'Boost Data'!$J$1:$O$52,2,0)</f>
        <v>12</v>
      </c>
      <c r="M16" s="79">
        <f>vlookup($D$16,'Boost Data'!$J$1:$O$52,2,0)</f>
        <v>12</v>
      </c>
      <c r="N16" s="79">
        <f>vlookup($D$16,'Boost Data'!$J$1:$O$52,2,0)</f>
        <v>12</v>
      </c>
      <c r="O16" s="79">
        <f>vlookup($D$16,'Boost Data'!$J$1:$O$52,2,0)</f>
        <v>12</v>
      </c>
      <c r="P16" s="86">
        <f>VLOOKUP(D16,'Boost Data'!$J$1:$P$52,7,0)</f>
        <v>46750</v>
      </c>
      <c r="Q16" s="60"/>
      <c r="R16" s="60"/>
      <c r="S16" s="73"/>
    </row>
    <row r="17" ht="22.5" customHeight="1" outlineLevel="1">
      <c r="A17" s="73"/>
      <c r="B17" s="60"/>
      <c r="C17" s="60"/>
      <c r="D17" s="60"/>
      <c r="E17" s="60"/>
      <c r="F17" s="60"/>
      <c r="G17" s="60"/>
      <c r="H17" s="60"/>
      <c r="I17" s="60"/>
      <c r="J17" s="78"/>
      <c r="K17" s="87">
        <f t="shared" ref="K17:R17" si="9">hlookup(K18,$K$15:$O$16,2,0)/100</f>
        <v>0.12</v>
      </c>
      <c r="L17" s="87">
        <f t="shared" si="9"/>
        <v>0.12</v>
      </c>
      <c r="M17" s="87">
        <f t="shared" si="9"/>
        <v>0.12</v>
      </c>
      <c r="N17" s="87">
        <f t="shared" si="9"/>
        <v>0.12</v>
      </c>
      <c r="O17" s="87">
        <f t="shared" si="9"/>
        <v>0.12</v>
      </c>
      <c r="P17" s="87">
        <f t="shared" si="9"/>
        <v>0.12</v>
      </c>
      <c r="Q17" s="87">
        <f t="shared" si="9"/>
        <v>0.12</v>
      </c>
      <c r="R17" s="87">
        <f t="shared" si="9"/>
        <v>0.12</v>
      </c>
      <c r="S17" s="73"/>
    </row>
    <row r="18" ht="22.5" customHeight="1" outlineLevel="1">
      <c r="A18" s="73"/>
      <c r="B18" s="88" t="s">
        <v>69</v>
      </c>
      <c r="C18" s="89" t="s">
        <v>70</v>
      </c>
      <c r="D18" s="88" t="s">
        <v>71</v>
      </c>
      <c r="E18" s="89" t="s">
        <v>72</v>
      </c>
      <c r="F18" s="88" t="s">
        <v>72</v>
      </c>
      <c r="G18" s="89" t="s">
        <v>73</v>
      </c>
      <c r="H18" s="88" t="s">
        <v>74</v>
      </c>
      <c r="I18" s="89" t="s">
        <v>75</v>
      </c>
      <c r="J18" s="78"/>
      <c r="K18" s="91" t="s">
        <v>65</v>
      </c>
      <c r="L18" s="91" t="s">
        <v>4</v>
      </c>
      <c r="M18" s="101" t="s">
        <v>64</v>
      </c>
      <c r="N18" s="101" t="s">
        <v>64</v>
      </c>
      <c r="O18" s="101" t="s">
        <v>64</v>
      </c>
      <c r="P18" s="101" t="s">
        <v>64</v>
      </c>
      <c r="Q18" s="91" t="s">
        <v>4</v>
      </c>
      <c r="R18" s="91" t="s">
        <v>65</v>
      </c>
      <c r="S18" s="73"/>
    </row>
    <row r="19" ht="22.5" customHeight="1" outlineLevel="1">
      <c r="A19" s="73"/>
      <c r="B19" s="92">
        <v>116.0</v>
      </c>
      <c r="C19" s="93">
        <v>138.0</v>
      </c>
      <c r="D19" s="92">
        <v>103.0</v>
      </c>
      <c r="E19" s="93">
        <v>116.0</v>
      </c>
      <c r="F19" s="92">
        <v>103.0</v>
      </c>
      <c r="G19" s="93">
        <v>103.0</v>
      </c>
      <c r="H19" s="92">
        <v>116.0</v>
      </c>
      <c r="I19" s="93">
        <v>116.0</v>
      </c>
      <c r="J19" s="78"/>
      <c r="K19" s="94">
        <f t="shared" ref="K19:R19" si="10">(B19-K20-K21)/(1+K17)</f>
        <v>103.5714286</v>
      </c>
      <c r="L19" s="94">
        <f t="shared" si="10"/>
        <v>115.1785714</v>
      </c>
      <c r="M19" s="94">
        <f t="shared" si="10"/>
        <v>91.96428571</v>
      </c>
      <c r="N19" s="94">
        <f t="shared" si="10"/>
        <v>103.5714286</v>
      </c>
      <c r="O19" s="94">
        <f t="shared" si="10"/>
        <v>91.96428571</v>
      </c>
      <c r="P19" s="94">
        <f t="shared" si="10"/>
        <v>91.96428571</v>
      </c>
      <c r="Q19" s="94">
        <f t="shared" si="10"/>
        <v>103.5714286</v>
      </c>
      <c r="R19" s="94">
        <f t="shared" si="10"/>
        <v>103.5714286</v>
      </c>
      <c r="S19" s="73"/>
    </row>
    <row r="20" ht="22.5" customHeight="1" outlineLevel="1">
      <c r="A20" s="73"/>
      <c r="B20" s="95"/>
      <c r="C20" s="96" t="s">
        <v>62</v>
      </c>
      <c r="D20" s="95"/>
      <c r="E20" s="96"/>
      <c r="F20" s="95"/>
      <c r="G20" s="96"/>
      <c r="H20" s="95"/>
      <c r="I20" s="96"/>
      <c r="J20" s="78"/>
      <c r="K20" s="91">
        <f t="shared" ref="K20:R20" si="11">if(ISBLANK(B20)=FALSE,$P$28,0)</f>
        <v>0</v>
      </c>
      <c r="L20" s="91">
        <f t="shared" si="11"/>
        <v>9</v>
      </c>
      <c r="M20" s="91">
        <f t="shared" si="11"/>
        <v>0</v>
      </c>
      <c r="N20" s="91">
        <f t="shared" si="11"/>
        <v>0</v>
      </c>
      <c r="O20" s="91">
        <f t="shared" si="11"/>
        <v>0</v>
      </c>
      <c r="P20" s="91">
        <f t="shared" si="11"/>
        <v>0</v>
      </c>
      <c r="Q20" s="91">
        <f t="shared" si="11"/>
        <v>0</v>
      </c>
      <c r="R20" s="91">
        <f t="shared" si="11"/>
        <v>0</v>
      </c>
      <c r="S20" s="73"/>
    </row>
    <row r="21" ht="22.5" customHeight="1" outlineLevel="1">
      <c r="A21" s="73"/>
      <c r="B21" s="97"/>
      <c r="C21" s="98"/>
      <c r="D21" s="97"/>
      <c r="E21" s="98"/>
      <c r="F21" s="97"/>
      <c r="G21" s="98"/>
      <c r="H21" s="97"/>
      <c r="I21" s="98"/>
      <c r="J21" s="78"/>
      <c r="K21" s="91">
        <f t="shared" ref="K21:R21" si="12">if(B21="2 from Dual",2,0)+if(B21="1 from Dual",1,0)</f>
        <v>0</v>
      </c>
      <c r="L21" s="91">
        <f t="shared" si="12"/>
        <v>0</v>
      </c>
      <c r="M21" s="91">
        <f t="shared" si="12"/>
        <v>0</v>
      </c>
      <c r="N21" s="91">
        <f t="shared" si="12"/>
        <v>0</v>
      </c>
      <c r="O21" s="91">
        <f t="shared" si="12"/>
        <v>0</v>
      </c>
      <c r="P21" s="91">
        <f t="shared" si="12"/>
        <v>0</v>
      </c>
      <c r="Q21" s="91">
        <f t="shared" si="12"/>
        <v>0</v>
      </c>
      <c r="R21" s="91">
        <f t="shared" si="12"/>
        <v>0</v>
      </c>
      <c r="S21" s="73"/>
    </row>
    <row r="22" ht="22.5" customHeight="1" outlineLevel="1">
      <c r="A22" s="73"/>
      <c r="B22" s="60"/>
      <c r="C22" s="60"/>
      <c r="D22" s="60"/>
      <c r="E22" s="60"/>
      <c r="F22" s="60"/>
      <c r="G22" s="60"/>
      <c r="H22" s="60"/>
      <c r="I22" s="60"/>
      <c r="J22" s="78"/>
      <c r="K22" s="99"/>
      <c r="L22" s="87">
        <f t="shared" ref="L22:Q22" si="13">hlookup(L23,$K$15:$O$16,2,0)/100</f>
        <v>0.12</v>
      </c>
      <c r="M22" s="87">
        <f t="shared" si="13"/>
        <v>0.12</v>
      </c>
      <c r="N22" s="87">
        <f t="shared" si="13"/>
        <v>0.12</v>
      </c>
      <c r="O22" s="87">
        <f t="shared" si="13"/>
        <v>0.12</v>
      </c>
      <c r="P22" s="87">
        <f t="shared" si="13"/>
        <v>0.12</v>
      </c>
      <c r="Q22" s="87">
        <f t="shared" si="13"/>
        <v>0.12</v>
      </c>
      <c r="R22" s="99"/>
      <c r="S22" s="73"/>
    </row>
    <row r="23" ht="22.5" customHeight="1" outlineLevel="1">
      <c r="A23" s="73"/>
      <c r="B23" s="60"/>
      <c r="C23" s="88" t="s">
        <v>65</v>
      </c>
      <c r="D23" s="89" t="s">
        <v>67</v>
      </c>
      <c r="E23" s="88" t="s">
        <v>66</v>
      </c>
      <c r="F23" s="89" t="s">
        <v>66</v>
      </c>
      <c r="G23" s="88" t="s">
        <v>67</v>
      </c>
      <c r="H23" s="89" t="s">
        <v>65</v>
      </c>
      <c r="I23" s="60"/>
      <c r="J23" s="78"/>
      <c r="K23" s="100"/>
      <c r="L23" s="91" t="str">
        <f t="shared" ref="L23:Q23" si="14">C23</f>
        <v>CB</v>
      </c>
      <c r="M23" s="91" t="str">
        <f t="shared" si="14"/>
        <v>DE</v>
      </c>
      <c r="N23" s="91" t="str">
        <f t="shared" si="14"/>
        <v>DT</v>
      </c>
      <c r="O23" s="91" t="str">
        <f t="shared" si="14"/>
        <v>DT</v>
      </c>
      <c r="P23" s="91" t="str">
        <f t="shared" si="14"/>
        <v>DE</v>
      </c>
      <c r="Q23" s="91" t="str">
        <f t="shared" si="14"/>
        <v>CB</v>
      </c>
      <c r="R23" s="60"/>
      <c r="S23" s="73"/>
    </row>
    <row r="24" ht="22.5" customHeight="1" outlineLevel="1">
      <c r="A24" s="73"/>
      <c r="B24" s="60"/>
      <c r="C24" s="113">
        <v>137.0</v>
      </c>
      <c r="D24" s="93">
        <v>115.0</v>
      </c>
      <c r="E24" s="92">
        <v>136.0</v>
      </c>
      <c r="F24" s="93">
        <v>115.0</v>
      </c>
      <c r="G24" s="92">
        <v>102.0</v>
      </c>
      <c r="H24" s="93">
        <v>102.0</v>
      </c>
      <c r="I24" s="60"/>
      <c r="J24" s="78"/>
      <c r="K24" s="99"/>
      <c r="L24" s="94">
        <f t="shared" ref="L24:Q24" si="15">(C24-L25-L26)/(1+L22)</f>
        <v>114.2857143</v>
      </c>
      <c r="M24" s="94">
        <f t="shared" si="15"/>
        <v>102.6785714</v>
      </c>
      <c r="N24" s="94">
        <f t="shared" si="15"/>
        <v>113.3928571</v>
      </c>
      <c r="O24" s="94">
        <f t="shared" si="15"/>
        <v>102.6785714</v>
      </c>
      <c r="P24" s="94">
        <f t="shared" si="15"/>
        <v>91.07142857</v>
      </c>
      <c r="Q24" s="94">
        <f t="shared" si="15"/>
        <v>91.07142857</v>
      </c>
      <c r="R24" s="60"/>
      <c r="S24" s="73"/>
    </row>
    <row r="25" ht="22.5" customHeight="1" outlineLevel="1">
      <c r="A25" s="73"/>
      <c r="B25" s="60"/>
      <c r="C25" s="114" t="s">
        <v>62</v>
      </c>
      <c r="D25" s="96"/>
      <c r="E25" s="95" t="s">
        <v>62</v>
      </c>
      <c r="F25" s="96"/>
      <c r="G25" s="95"/>
      <c r="H25" s="96"/>
      <c r="I25" s="60"/>
      <c r="J25" s="78"/>
      <c r="K25" s="90"/>
      <c r="L25" s="91">
        <f t="shared" ref="L25:Q25" si="16">if(ISBLANK(C25)=FALSE,$P$28,0)</f>
        <v>9</v>
      </c>
      <c r="M25" s="91">
        <f t="shared" si="16"/>
        <v>0</v>
      </c>
      <c r="N25" s="91">
        <f t="shared" si="16"/>
        <v>9</v>
      </c>
      <c r="O25" s="91">
        <f t="shared" si="16"/>
        <v>0</v>
      </c>
      <c r="P25" s="91">
        <f t="shared" si="16"/>
        <v>0</v>
      </c>
      <c r="Q25" s="91">
        <f t="shared" si="16"/>
        <v>0</v>
      </c>
      <c r="R25" s="60"/>
      <c r="S25" s="73"/>
    </row>
    <row r="26" ht="22.5" customHeight="1" outlineLevel="1">
      <c r="A26" s="73"/>
      <c r="B26" s="60"/>
      <c r="C26" s="97"/>
      <c r="D26" s="98"/>
      <c r="E26" s="97"/>
      <c r="F26" s="98"/>
      <c r="G26" s="97"/>
      <c r="H26" s="98"/>
      <c r="I26" s="60"/>
      <c r="J26" s="78"/>
      <c r="K26" s="90"/>
      <c r="L26" s="91">
        <f t="shared" ref="L26:Q26" si="17">if(C26="2 from Dual",2,0)+if(C26="1 from Dual",1,0)</f>
        <v>0</v>
      </c>
      <c r="M26" s="91">
        <f t="shared" si="17"/>
        <v>0</v>
      </c>
      <c r="N26" s="91">
        <f t="shared" si="17"/>
        <v>0</v>
      </c>
      <c r="O26" s="91">
        <f t="shared" si="17"/>
        <v>0</v>
      </c>
      <c r="P26" s="91">
        <f t="shared" si="17"/>
        <v>0</v>
      </c>
      <c r="Q26" s="91">
        <f t="shared" si="17"/>
        <v>0</v>
      </c>
      <c r="R26" s="60"/>
      <c r="S26" s="73"/>
    </row>
    <row r="27" ht="22.5" customHeight="1" outlineLevel="1">
      <c r="A27" s="73"/>
      <c r="B27" s="60"/>
      <c r="C27" s="60"/>
      <c r="D27" s="60"/>
      <c r="E27" s="60"/>
      <c r="F27" s="60"/>
      <c r="G27" s="60"/>
      <c r="H27" s="60"/>
      <c r="I27" s="60"/>
      <c r="J27" s="78"/>
      <c r="K27" s="103" t="s">
        <v>76</v>
      </c>
      <c r="L27" s="103" t="s">
        <v>77</v>
      </c>
      <c r="M27" s="103" t="s">
        <v>78</v>
      </c>
      <c r="N27" s="103" t="s">
        <v>79</v>
      </c>
      <c r="O27" s="80" t="s">
        <v>52</v>
      </c>
      <c r="P27" s="104" t="s">
        <v>80</v>
      </c>
      <c r="Q27" s="104" t="s">
        <v>81</v>
      </c>
      <c r="R27" s="104" t="s">
        <v>82</v>
      </c>
      <c r="S27" s="73"/>
    </row>
    <row r="28" ht="22.5" customHeight="1" outlineLevel="1">
      <c r="A28" s="73"/>
      <c r="B28" s="74" t="s">
        <v>83</v>
      </c>
      <c r="C28" s="84" t="s">
        <v>54</v>
      </c>
      <c r="D28" s="85">
        <v>30.0</v>
      </c>
      <c r="E28" s="74"/>
      <c r="F28" s="74"/>
      <c r="G28" s="74"/>
      <c r="H28" s="74"/>
      <c r="I28" s="74"/>
      <c r="J28" s="78"/>
      <c r="K28" s="79">
        <f>vlookup($D$28,'Boost Data'!$S$1:$W$52,2,0)</f>
        <v>12</v>
      </c>
      <c r="L28" s="79">
        <f>vlookup($D$28,'Boost Data'!$S$1:$W$52,2,0)</f>
        <v>12</v>
      </c>
      <c r="M28" s="79">
        <f>vlookup($D$28,'Boost Data'!$S$1:$W$52,2,0)</f>
        <v>12</v>
      </c>
      <c r="N28" s="79">
        <f>vlookup($D$28,'Boost Data'!$S$1:$W$52,2,0)</f>
        <v>12</v>
      </c>
      <c r="O28" s="86">
        <f>VLOOKUP(D28,'Boost Data'!$S$1:$X$52,6,0)</f>
        <v>14380</v>
      </c>
      <c r="P28" s="105">
        <f>Countif($B$3:$I$33, "Mythic +1")</f>
        <v>9</v>
      </c>
      <c r="Q28" s="105"/>
      <c r="R28" s="105"/>
      <c r="S28" s="73"/>
    </row>
    <row r="29" ht="22.5" customHeight="1" outlineLevel="1">
      <c r="A29" s="73"/>
      <c r="B29" s="60"/>
      <c r="C29" s="60"/>
      <c r="D29" s="60"/>
      <c r="E29" s="60"/>
      <c r="F29" s="60"/>
      <c r="G29" s="60"/>
      <c r="H29" s="60"/>
      <c r="I29" s="60"/>
      <c r="J29" s="78"/>
      <c r="K29" s="60"/>
      <c r="L29" s="60"/>
      <c r="M29" s="87">
        <f t="shared" ref="M29:P29" si="18">hlookup(M30,$K$27:$N$28,2,0)/100</f>
        <v>0.12</v>
      </c>
      <c r="N29" s="87">
        <f t="shared" si="18"/>
        <v>0.12</v>
      </c>
      <c r="O29" s="87">
        <f t="shared" si="18"/>
        <v>0.12</v>
      </c>
      <c r="P29" s="87">
        <f t="shared" si="18"/>
        <v>0.12</v>
      </c>
      <c r="Q29" s="60"/>
      <c r="R29" s="60"/>
      <c r="S29" s="73"/>
    </row>
    <row r="30" ht="22.5" customHeight="1" outlineLevel="1">
      <c r="A30" s="73"/>
      <c r="D30" s="88" t="s">
        <v>76</v>
      </c>
      <c r="E30" s="89" t="s">
        <v>77</v>
      </c>
      <c r="F30" s="88" t="s">
        <v>78</v>
      </c>
      <c r="G30" s="89" t="s">
        <v>79</v>
      </c>
      <c r="H30" s="60"/>
      <c r="I30" s="60"/>
      <c r="J30" s="78"/>
      <c r="K30" s="60"/>
      <c r="L30" s="60"/>
      <c r="M30" s="91" t="str">
        <f t="shared" ref="M30:P30" si="19">D30</f>
        <v>K</v>
      </c>
      <c r="N30" s="91" t="str">
        <f t="shared" si="19"/>
        <v>KR</v>
      </c>
      <c r="O30" s="91" t="str">
        <f t="shared" si="19"/>
        <v>P</v>
      </c>
      <c r="P30" s="91" t="str">
        <f t="shared" si="19"/>
        <v>PR</v>
      </c>
      <c r="Q30" s="60"/>
      <c r="R30" s="60"/>
      <c r="S30" s="73"/>
    </row>
    <row r="31" ht="22.5" customHeight="1" outlineLevel="1">
      <c r="A31" s="73"/>
      <c r="D31" s="92">
        <v>102.4</v>
      </c>
      <c r="E31" s="93">
        <v>136.0</v>
      </c>
      <c r="F31" s="92">
        <v>102.2</v>
      </c>
      <c r="G31" s="112">
        <v>136.0</v>
      </c>
      <c r="H31" s="60"/>
      <c r="I31" s="60"/>
      <c r="J31" s="78"/>
      <c r="K31" s="60"/>
      <c r="L31" s="60"/>
      <c r="M31" s="94">
        <f t="shared" ref="M31:P31" si="20">(D31-M32-M33)/(1+M29)</f>
        <v>91.42857143</v>
      </c>
      <c r="N31" s="94">
        <f t="shared" si="20"/>
        <v>113.3928571</v>
      </c>
      <c r="O31" s="94">
        <f t="shared" si="20"/>
        <v>91.25</v>
      </c>
      <c r="P31" s="94">
        <f t="shared" si="20"/>
        <v>113.3928571</v>
      </c>
      <c r="Q31" s="60"/>
      <c r="R31" s="60"/>
      <c r="S31" s="73"/>
    </row>
    <row r="32" ht="22.5" customHeight="1" outlineLevel="1">
      <c r="A32" s="73"/>
      <c r="D32" s="95"/>
      <c r="E32" s="96" t="s">
        <v>62</v>
      </c>
      <c r="F32" s="95"/>
      <c r="G32" s="116" t="s">
        <v>62</v>
      </c>
      <c r="H32" s="60"/>
      <c r="I32" s="60"/>
      <c r="J32" s="78"/>
      <c r="K32" s="60"/>
      <c r="L32" s="60"/>
      <c r="M32" s="91">
        <f t="shared" ref="M32:P32" si="21">if(ISBLANK(D32)=FALSE,$P$28,0)</f>
        <v>0</v>
      </c>
      <c r="N32" s="91">
        <f t="shared" si="21"/>
        <v>9</v>
      </c>
      <c r="O32" s="91">
        <f t="shared" si="21"/>
        <v>0</v>
      </c>
      <c r="P32" s="91">
        <f t="shared" si="21"/>
        <v>9</v>
      </c>
      <c r="Q32" s="60"/>
      <c r="R32" s="106" t="s">
        <v>84</v>
      </c>
      <c r="S32" s="73"/>
    </row>
    <row r="33" ht="22.5" customHeight="1" outlineLevel="1">
      <c r="A33" s="73"/>
      <c r="D33" s="97"/>
      <c r="E33" s="98"/>
      <c r="F33" s="97"/>
      <c r="G33" s="98"/>
      <c r="H33" s="60"/>
      <c r="I33" s="60"/>
      <c r="J33" s="78"/>
      <c r="K33" s="60"/>
      <c r="L33" s="60"/>
      <c r="M33" s="91">
        <f t="shared" ref="M33:P33" si="22">if(D33="2 from Dual",2,0)+if(D33="1 from Dual",1,0)</f>
        <v>0</v>
      </c>
      <c r="N33" s="91">
        <f t="shared" si="22"/>
        <v>0</v>
      </c>
      <c r="O33" s="91">
        <f t="shared" si="22"/>
        <v>0</v>
      </c>
      <c r="P33" s="91">
        <f t="shared" si="22"/>
        <v>0</v>
      </c>
      <c r="Q33" s="60"/>
      <c r="R33" s="105">
        <f>I2*P28</f>
        <v>36</v>
      </c>
      <c r="S33" s="73"/>
    </row>
    <row r="34" ht="22.5" customHeight="1" outlineLevel="1">
      <c r="A34" s="73"/>
      <c r="B34" s="60"/>
      <c r="C34" s="60"/>
      <c r="D34" s="60"/>
      <c r="E34" s="60"/>
      <c r="F34" s="60"/>
      <c r="G34" s="60"/>
      <c r="H34" s="60"/>
      <c r="I34" s="60"/>
      <c r="J34" s="78"/>
      <c r="K34" s="60"/>
      <c r="L34" s="60"/>
      <c r="M34" s="60"/>
      <c r="N34" s="60"/>
      <c r="O34" s="60"/>
      <c r="P34" s="60"/>
      <c r="Q34" s="60"/>
      <c r="R34" s="60"/>
      <c r="S34" s="73"/>
    </row>
    <row r="35" ht="22.5" customHeight="1">
      <c r="A35" s="73"/>
      <c r="B35" s="81" t="s">
        <v>85</v>
      </c>
      <c r="J35" s="78"/>
      <c r="K35" s="106">
        <v>2.0</v>
      </c>
      <c r="L35" s="106">
        <v>3.0</v>
      </c>
      <c r="M35" s="106">
        <v>4.0</v>
      </c>
      <c r="N35" s="106">
        <v>5.0</v>
      </c>
      <c r="O35" s="106">
        <v>6.0</v>
      </c>
      <c r="P35" s="60"/>
      <c r="Q35" s="60"/>
      <c r="R35" s="60"/>
      <c r="S35" s="73"/>
    </row>
    <row r="36" ht="22.5" customHeight="1">
      <c r="A36" s="73"/>
      <c r="B36" s="74" t="s">
        <v>53</v>
      </c>
      <c r="C36" s="74"/>
      <c r="D36" s="74"/>
      <c r="E36" s="74"/>
      <c r="F36" s="74"/>
      <c r="G36" s="74"/>
      <c r="H36" s="77" t="s">
        <v>86</v>
      </c>
      <c r="I36" s="74"/>
      <c r="J36" s="78"/>
      <c r="K36" s="79" t="s">
        <v>47</v>
      </c>
      <c r="L36" s="79" t="s">
        <v>48</v>
      </c>
      <c r="M36" s="79" t="s">
        <v>49</v>
      </c>
      <c r="N36" s="79" t="s">
        <v>50</v>
      </c>
      <c r="O36" s="79" t="s">
        <v>51</v>
      </c>
      <c r="P36" s="80" t="s">
        <v>52</v>
      </c>
      <c r="Q36" s="60"/>
      <c r="R36" s="60"/>
      <c r="S36" s="73"/>
    </row>
    <row r="37" ht="22.5" customHeight="1">
      <c r="A37" s="73"/>
      <c r="B37" s="99" t="s">
        <v>47</v>
      </c>
      <c r="C37" s="99" t="s">
        <v>48</v>
      </c>
      <c r="D37" s="99" t="s">
        <v>49</v>
      </c>
      <c r="E37" s="99" t="s">
        <v>50</v>
      </c>
      <c r="F37" s="99" t="s">
        <v>51</v>
      </c>
      <c r="H37" s="107">
        <v>40.0</v>
      </c>
      <c r="I37" s="60"/>
      <c r="J37" s="78"/>
      <c r="K37" s="79">
        <f>vlookup($H$37,'Boost Data'!$A$1:$F$52,K$35,0)</f>
        <v>16</v>
      </c>
      <c r="L37" s="79">
        <f>vlookup($H$37,'Boost Data'!$A$1:$F$52,L35,0)</f>
        <v>16</v>
      </c>
      <c r="M37" s="79">
        <f>vlookup($H$37,'Boost Data'!$A$1:$F$52,M35,0)</f>
        <v>16</v>
      </c>
      <c r="N37" s="79">
        <f>vlookup($H$37,'Boost Data'!$A$1:$F$52,N35,0)</f>
        <v>16</v>
      </c>
      <c r="O37" s="79">
        <f>vlookup($H$37,'Boost Data'!$A$1:$F$52,O35,0)</f>
        <v>16</v>
      </c>
      <c r="P37" s="86">
        <f>VLOOKUP(H37,'Boost Data'!$A$1:$G$52,7,0)</f>
        <v>117960</v>
      </c>
      <c r="Q37" s="60"/>
      <c r="R37" s="60"/>
      <c r="S37" s="73"/>
    </row>
    <row r="38" ht="22.5" customHeight="1">
      <c r="A38" s="73"/>
      <c r="B38" s="108" t="str">
        <f t="shared" ref="B38:F38" si="23">K4&amp;"% ⏩ "&amp;K37&amp;"%"</f>
        <v>15% ⏩ 16%</v>
      </c>
      <c r="C38" s="109" t="str">
        <f t="shared" si="23"/>
        <v>15% ⏩ 16%</v>
      </c>
      <c r="D38" s="108" t="str">
        <f t="shared" si="23"/>
        <v>16% ⏩ 16%</v>
      </c>
      <c r="E38" s="109" t="str">
        <f t="shared" si="23"/>
        <v>16% ⏩ 16%</v>
      </c>
      <c r="F38" s="108" t="str">
        <f t="shared" si="23"/>
        <v>16% ⏩ 16%</v>
      </c>
      <c r="G38" s="60"/>
      <c r="I38" s="60"/>
      <c r="J38" s="78"/>
      <c r="K38" s="110">
        <f>hlookup(K39,$K36:$O37,2,0)</f>
        <v>16</v>
      </c>
      <c r="L38" s="110">
        <f>hlookup(L39,$K$36:$O$37,2,0)</f>
        <v>16</v>
      </c>
      <c r="M38" s="110">
        <f t="shared" ref="M38:Q38" si="24">hlookup(M39,$K36:$O37,2,0)</f>
        <v>16</v>
      </c>
      <c r="N38" s="110">
        <f t="shared" si="24"/>
        <v>16</v>
      </c>
      <c r="O38" s="110">
        <f t="shared" si="24"/>
        <v>16</v>
      </c>
      <c r="P38" s="110">
        <f t="shared" si="24"/>
        <v>16</v>
      </c>
      <c r="Q38" s="110">
        <f t="shared" si="24"/>
        <v>16</v>
      </c>
      <c r="R38" s="110"/>
      <c r="S38" s="73"/>
    </row>
    <row r="39" ht="22.5" customHeight="1">
      <c r="A39" s="73"/>
      <c r="B39" s="54"/>
      <c r="C39" s="53"/>
      <c r="D39" s="53"/>
      <c r="E39" s="53"/>
      <c r="F39" s="53"/>
      <c r="G39" s="60"/>
      <c r="H39" s="60"/>
      <c r="I39" s="60"/>
      <c r="J39" s="78"/>
      <c r="K39" s="91" t="str">
        <f t="shared" ref="K39:Q39" si="25">K6</f>
        <v>WR</v>
      </c>
      <c r="L39" s="91" t="str">
        <f t="shared" si="25"/>
        <v>C/OG/OT</v>
      </c>
      <c r="M39" s="91" t="str">
        <f t="shared" si="25"/>
        <v>C/OG/OT</v>
      </c>
      <c r="N39" s="91" t="str">
        <f t="shared" si="25"/>
        <v>C/OG/OT</v>
      </c>
      <c r="O39" s="91" t="str">
        <f t="shared" si="25"/>
        <v>C/OG/OT</v>
      </c>
      <c r="P39" s="91" t="str">
        <f t="shared" si="25"/>
        <v>C/OG/OT</v>
      </c>
      <c r="Q39" s="91" t="str">
        <f t="shared" si="25"/>
        <v>WR</v>
      </c>
      <c r="R39" s="60"/>
      <c r="S39" s="73"/>
    </row>
    <row r="40" ht="22.5" customHeight="1">
      <c r="A40" s="73"/>
      <c r="B40" s="74" t="s">
        <v>68</v>
      </c>
      <c r="C40" s="74"/>
      <c r="D40" s="74"/>
      <c r="E40" s="74"/>
      <c r="F40" s="74"/>
      <c r="G40" s="74"/>
      <c r="H40" s="77" t="s">
        <v>86</v>
      </c>
      <c r="I40" s="74"/>
      <c r="J40" s="78"/>
      <c r="K40" s="94">
        <f t="shared" ref="K40:Q40" si="26">K7+(K7*(K38/100))+K41+K42</f>
        <v>141</v>
      </c>
      <c r="L40" s="94">
        <f t="shared" si="26"/>
        <v>120</v>
      </c>
      <c r="M40" s="94">
        <f t="shared" si="26"/>
        <v>106</v>
      </c>
      <c r="N40" s="94">
        <f t="shared" si="26"/>
        <v>106</v>
      </c>
      <c r="O40" s="94">
        <f t="shared" si="26"/>
        <v>140</v>
      </c>
      <c r="P40" s="94">
        <f t="shared" si="26"/>
        <v>140</v>
      </c>
      <c r="Q40" s="94">
        <f t="shared" si="26"/>
        <v>121</v>
      </c>
      <c r="R40" s="60"/>
      <c r="S40" s="73"/>
    </row>
    <row r="41" ht="22.5" customHeight="1">
      <c r="A41" s="73"/>
      <c r="B41" s="99" t="s">
        <v>64</v>
      </c>
      <c r="C41" s="99" t="s">
        <v>65</v>
      </c>
      <c r="D41" s="99" t="s">
        <v>4</v>
      </c>
      <c r="E41" s="99" t="s">
        <v>66</v>
      </c>
      <c r="F41" s="99" t="s">
        <v>67</v>
      </c>
      <c r="G41" s="60"/>
      <c r="H41" s="107">
        <v>30.0</v>
      </c>
      <c r="I41" s="60"/>
      <c r="J41" s="78"/>
      <c r="K41" s="91">
        <f t="shared" ref="K41:Q41" si="27">if(isblank(B8),0,$P$61)</f>
        <v>9</v>
      </c>
      <c r="L41" s="91">
        <f t="shared" si="27"/>
        <v>0</v>
      </c>
      <c r="M41" s="91">
        <f t="shared" si="27"/>
        <v>0</v>
      </c>
      <c r="N41" s="91">
        <f t="shared" si="27"/>
        <v>0</v>
      </c>
      <c r="O41" s="91">
        <f t="shared" si="27"/>
        <v>9</v>
      </c>
      <c r="P41" s="91">
        <f t="shared" si="27"/>
        <v>9</v>
      </c>
      <c r="Q41" s="91">
        <f t="shared" si="27"/>
        <v>0</v>
      </c>
      <c r="R41" s="60"/>
      <c r="S41" s="73"/>
    </row>
    <row r="42" ht="22.5" customHeight="1">
      <c r="A42" s="73"/>
      <c r="B42" s="108" t="str">
        <f t="shared" ref="B42:F42" si="28">K16&amp;"% ⏩ "&amp;K49&amp;"%"</f>
        <v>12% ⏩ 12%</v>
      </c>
      <c r="C42" s="109" t="str">
        <f t="shared" si="28"/>
        <v>12% ⏩ 12%</v>
      </c>
      <c r="D42" s="108" t="str">
        <f t="shared" si="28"/>
        <v>12% ⏩ 12%</v>
      </c>
      <c r="E42" s="109" t="str">
        <f t="shared" si="28"/>
        <v>12% ⏩ 12%</v>
      </c>
      <c r="F42" s="108" t="str">
        <f t="shared" si="28"/>
        <v>12% ⏩ 12%</v>
      </c>
      <c r="G42" s="60"/>
      <c r="I42" s="60"/>
      <c r="J42" s="78"/>
      <c r="K42" s="91">
        <f t="shared" ref="K42:Q42" si="29">K9</f>
        <v>0</v>
      </c>
      <c r="L42" s="91">
        <f t="shared" si="29"/>
        <v>0</v>
      </c>
      <c r="M42" s="91">
        <f t="shared" si="29"/>
        <v>0</v>
      </c>
      <c r="N42" s="91">
        <f t="shared" si="29"/>
        <v>0</v>
      </c>
      <c r="O42" s="91">
        <f t="shared" si="29"/>
        <v>0</v>
      </c>
      <c r="P42" s="91">
        <f t="shared" si="29"/>
        <v>0</v>
      </c>
      <c r="Q42" s="91">
        <f t="shared" si="29"/>
        <v>0</v>
      </c>
      <c r="R42" s="60"/>
      <c r="S42" s="73"/>
    </row>
    <row r="43" ht="22.5" customHeight="1">
      <c r="A43" s="73"/>
      <c r="B43" s="53"/>
      <c r="C43" s="53"/>
      <c r="D43" s="53"/>
      <c r="E43" s="53"/>
      <c r="F43" s="53"/>
      <c r="G43" s="60"/>
      <c r="H43" s="60"/>
      <c r="I43" s="60"/>
      <c r="J43" s="78"/>
      <c r="K43" s="99"/>
      <c r="L43" s="110">
        <f t="shared" ref="L43:P43" si="30">hlookup(L44,$K$36:$O$37,2,0)</f>
        <v>16</v>
      </c>
      <c r="M43" s="110">
        <f t="shared" si="30"/>
        <v>16</v>
      </c>
      <c r="N43" s="110">
        <f t="shared" si="30"/>
        <v>16</v>
      </c>
      <c r="O43" s="110">
        <f t="shared" si="30"/>
        <v>16</v>
      </c>
      <c r="P43" s="110">
        <f t="shared" si="30"/>
        <v>16</v>
      </c>
      <c r="Q43" s="99"/>
      <c r="R43" s="60"/>
      <c r="S43" s="73"/>
    </row>
    <row r="44" ht="22.5" customHeight="1">
      <c r="A44" s="73"/>
      <c r="B44" s="74" t="s">
        <v>83</v>
      </c>
      <c r="C44" s="74"/>
      <c r="D44" s="74"/>
      <c r="E44" s="74"/>
      <c r="F44" s="74"/>
      <c r="G44" s="74"/>
      <c r="H44" s="77" t="s">
        <v>86</v>
      </c>
      <c r="I44" s="74"/>
      <c r="J44" s="78"/>
      <c r="K44" s="90"/>
      <c r="L44" s="91" t="str">
        <f t="shared" ref="L44:P44" si="31">L11</f>
        <v>WR</v>
      </c>
      <c r="M44" s="91" t="str">
        <f t="shared" si="31"/>
        <v>HB/FB</v>
      </c>
      <c r="N44" s="91" t="str">
        <f t="shared" si="31"/>
        <v>QB</v>
      </c>
      <c r="O44" s="91" t="str">
        <f t="shared" si="31"/>
        <v>HB/FB</v>
      </c>
      <c r="P44" s="91" t="str">
        <f t="shared" si="31"/>
        <v>TE</v>
      </c>
      <c r="Q44" s="90"/>
      <c r="R44" s="60"/>
      <c r="S44" s="73"/>
    </row>
    <row r="45" ht="22.5" customHeight="1">
      <c r="A45" s="73"/>
      <c r="B45" s="99" t="s">
        <v>76</v>
      </c>
      <c r="C45" s="99" t="s">
        <v>77</v>
      </c>
      <c r="D45" s="99" t="s">
        <v>78</v>
      </c>
      <c r="E45" s="99" t="s">
        <v>79</v>
      </c>
      <c r="F45" s="99"/>
      <c r="G45" s="60"/>
      <c r="H45" s="107">
        <v>30.0</v>
      </c>
      <c r="I45" s="60"/>
      <c r="J45" s="78"/>
      <c r="K45" s="100"/>
      <c r="L45" s="94">
        <f t="shared" ref="L45:P45" si="32">L12+(L12*(L43/100))+L46+L47</f>
        <v>120</v>
      </c>
      <c r="M45" s="94">
        <f t="shared" si="32"/>
        <v>120.0347826</v>
      </c>
      <c r="N45" s="94">
        <f t="shared" si="32"/>
        <v>119.026087</v>
      </c>
      <c r="O45" s="94">
        <f t="shared" si="32"/>
        <v>120.0347826</v>
      </c>
      <c r="P45" s="94">
        <f t="shared" si="32"/>
        <v>140</v>
      </c>
      <c r="Q45" s="90"/>
      <c r="R45" s="60"/>
      <c r="S45" s="73"/>
    </row>
    <row r="46" ht="22.5" customHeight="1">
      <c r="A46" s="73"/>
      <c r="B46" s="108" t="str">
        <f t="shared" ref="B46:E46" si="33">K28&amp;"% ⏩ "&amp;K61&amp;"%"</f>
        <v>12% ⏩ 12%</v>
      </c>
      <c r="C46" s="109" t="str">
        <f t="shared" si="33"/>
        <v>12% ⏩ 12%</v>
      </c>
      <c r="D46" s="108" t="str">
        <f t="shared" si="33"/>
        <v>12% ⏩ 12%</v>
      </c>
      <c r="E46" s="109" t="str">
        <f t="shared" si="33"/>
        <v>12% ⏩ 12%</v>
      </c>
      <c r="F46" s="53"/>
      <c r="G46" s="60"/>
      <c r="I46" s="60"/>
      <c r="J46" s="78"/>
      <c r="K46" s="100"/>
      <c r="L46" s="91">
        <f t="shared" ref="L46:P46" si="34">if(isblank(C13),0,$P$61)</f>
        <v>0</v>
      </c>
      <c r="M46" s="91">
        <f t="shared" si="34"/>
        <v>0</v>
      </c>
      <c r="N46" s="91">
        <f t="shared" si="34"/>
        <v>0</v>
      </c>
      <c r="O46" s="91">
        <f t="shared" si="34"/>
        <v>0</v>
      </c>
      <c r="P46" s="91">
        <f t="shared" si="34"/>
        <v>9</v>
      </c>
      <c r="Q46" s="90"/>
      <c r="R46" s="60"/>
      <c r="S46" s="73"/>
    </row>
    <row r="47" ht="22.5" customHeight="1">
      <c r="A47" s="73"/>
      <c r="B47" s="60"/>
      <c r="C47" s="60"/>
      <c r="D47" s="60"/>
      <c r="E47" s="60"/>
      <c r="F47" s="60"/>
      <c r="G47" s="60"/>
      <c r="H47" s="60"/>
      <c r="I47" s="60"/>
      <c r="J47" s="78"/>
      <c r="K47" s="100"/>
      <c r="L47" s="91">
        <f t="shared" ref="L47:P47" si="35">L14</f>
        <v>0</v>
      </c>
      <c r="M47" s="91">
        <f t="shared" si="35"/>
        <v>0</v>
      </c>
      <c r="N47" s="91">
        <f t="shared" si="35"/>
        <v>0</v>
      </c>
      <c r="O47" s="91">
        <f t="shared" si="35"/>
        <v>0</v>
      </c>
      <c r="P47" s="91">
        <f t="shared" si="35"/>
        <v>0</v>
      </c>
      <c r="Q47" s="90"/>
      <c r="R47" s="60"/>
      <c r="S47" s="73"/>
    </row>
    <row r="48" ht="22.5" hidden="1" customHeight="1">
      <c r="A48" s="73"/>
      <c r="B48" s="60"/>
      <c r="C48" s="60"/>
      <c r="D48" s="60"/>
      <c r="E48" s="60"/>
      <c r="F48" s="60"/>
      <c r="G48" s="60"/>
      <c r="H48" s="60"/>
      <c r="I48" s="60"/>
      <c r="J48" s="78"/>
      <c r="K48" s="79" t="s">
        <v>64</v>
      </c>
      <c r="L48" s="79" t="s">
        <v>65</v>
      </c>
      <c r="M48" s="79" t="s">
        <v>4</v>
      </c>
      <c r="N48" s="79" t="s">
        <v>66</v>
      </c>
      <c r="O48" s="79" t="s">
        <v>67</v>
      </c>
      <c r="P48" s="80" t="s">
        <v>52</v>
      </c>
      <c r="Q48" s="60"/>
      <c r="R48" s="60"/>
      <c r="S48" s="73"/>
    </row>
    <row r="49" ht="22.5" hidden="1" customHeight="1">
      <c r="A49" s="73"/>
      <c r="B49" s="60"/>
      <c r="C49" s="60"/>
      <c r="D49" s="60"/>
      <c r="E49" s="60"/>
      <c r="F49" s="60"/>
      <c r="G49" s="60"/>
      <c r="H49" s="60"/>
      <c r="I49" s="60"/>
      <c r="J49" s="78"/>
      <c r="K49" s="79">
        <f>vlookup($H$41,'Boost Data'!$J$1:$O$52,K35,0)</f>
        <v>12</v>
      </c>
      <c r="L49" s="79">
        <f>vlookup($H$41,'Boost Data'!$J$1:$O$52,L35,0)</f>
        <v>12</v>
      </c>
      <c r="M49" s="79">
        <f>vlookup($H$41,'Boost Data'!$J$1:$O$52,M35,0)</f>
        <v>12</v>
      </c>
      <c r="N49" s="79">
        <f>vlookup($H$41,'Boost Data'!$J$1:$O$52,N35,0)</f>
        <v>12</v>
      </c>
      <c r="O49" s="79">
        <f>vlookup($H$41,'Boost Data'!$J$1:$O$52,O35,0)</f>
        <v>12</v>
      </c>
      <c r="P49" s="86">
        <f>VLOOKUP(H41,'Boost Data'!$J$1:$P$52,7,0)</f>
        <v>46750</v>
      </c>
      <c r="Q49" s="60"/>
      <c r="R49" s="60"/>
      <c r="S49" s="73"/>
    </row>
    <row r="50" ht="22.5" hidden="1" customHeight="1">
      <c r="A50" s="73"/>
      <c r="B50" s="60"/>
      <c r="C50" s="60"/>
      <c r="D50" s="60"/>
      <c r="E50" s="60"/>
      <c r="F50" s="60"/>
      <c r="G50" s="60"/>
      <c r="H50" s="60"/>
      <c r="I50" s="60"/>
      <c r="J50" s="78"/>
      <c r="K50" s="110">
        <f>hlookup(K51,$K48:$O49,2,0)</f>
        <v>12</v>
      </c>
      <c r="L50" s="110">
        <f>hlookup(L51,$K$48:$O$49,2,0)</f>
        <v>12</v>
      </c>
      <c r="M50" s="110">
        <f t="shared" ref="M50:R50" si="36">hlookup(M51,$K48:$O49,2,0)</f>
        <v>12</v>
      </c>
      <c r="N50" s="110">
        <f t="shared" si="36"/>
        <v>12</v>
      </c>
      <c r="O50" s="110">
        <f t="shared" si="36"/>
        <v>12</v>
      </c>
      <c r="P50" s="110">
        <f t="shared" si="36"/>
        <v>12</v>
      </c>
      <c r="Q50" s="110">
        <f t="shared" si="36"/>
        <v>12</v>
      </c>
      <c r="R50" s="110">
        <f t="shared" si="36"/>
        <v>12</v>
      </c>
      <c r="S50" s="73"/>
    </row>
    <row r="51" ht="22.5" hidden="1" customHeight="1">
      <c r="A51" s="73"/>
      <c r="B51" s="60"/>
      <c r="C51" s="60"/>
      <c r="D51" s="60"/>
      <c r="E51" s="60"/>
      <c r="F51" s="60"/>
      <c r="G51" s="60"/>
      <c r="H51" s="60"/>
      <c r="I51" s="60"/>
      <c r="J51" s="78"/>
      <c r="K51" s="91" t="str">
        <f t="shared" ref="K51:R51" si="37">K18</f>
        <v>CB</v>
      </c>
      <c r="L51" s="91" t="str">
        <f t="shared" si="37"/>
        <v>S</v>
      </c>
      <c r="M51" s="91" t="str">
        <f t="shared" si="37"/>
        <v>LB/MLB</v>
      </c>
      <c r="N51" s="91" t="str">
        <f t="shared" si="37"/>
        <v>LB/MLB</v>
      </c>
      <c r="O51" s="91" t="str">
        <f t="shared" si="37"/>
        <v>LB/MLB</v>
      </c>
      <c r="P51" s="91" t="str">
        <f t="shared" si="37"/>
        <v>LB/MLB</v>
      </c>
      <c r="Q51" s="91" t="str">
        <f t="shared" si="37"/>
        <v>S</v>
      </c>
      <c r="R51" s="91" t="str">
        <f t="shared" si="37"/>
        <v>CB</v>
      </c>
      <c r="S51" s="73"/>
    </row>
    <row r="52" ht="22.5" hidden="1" customHeight="1">
      <c r="A52" s="73"/>
      <c r="B52" s="60"/>
      <c r="C52" s="60"/>
      <c r="D52" s="60"/>
      <c r="E52" s="60"/>
      <c r="F52" s="60"/>
      <c r="G52" s="60"/>
      <c r="H52" s="60"/>
      <c r="I52" s="60"/>
      <c r="J52" s="78"/>
      <c r="K52" s="94">
        <f t="shared" ref="K52:R52" si="38">K19+(K19*(K50/100))+K53+K54</f>
        <v>116</v>
      </c>
      <c r="L52" s="94">
        <f t="shared" si="38"/>
        <v>138</v>
      </c>
      <c r="M52" s="94">
        <f t="shared" si="38"/>
        <v>103</v>
      </c>
      <c r="N52" s="94">
        <f t="shared" si="38"/>
        <v>116</v>
      </c>
      <c r="O52" s="94">
        <f t="shared" si="38"/>
        <v>103</v>
      </c>
      <c r="P52" s="94">
        <f t="shared" si="38"/>
        <v>103</v>
      </c>
      <c r="Q52" s="94">
        <f t="shared" si="38"/>
        <v>116</v>
      </c>
      <c r="R52" s="94">
        <f t="shared" si="38"/>
        <v>116</v>
      </c>
      <c r="S52" s="73"/>
    </row>
    <row r="53" ht="22.5" hidden="1" customHeight="1">
      <c r="A53" s="73"/>
      <c r="B53" s="60"/>
      <c r="C53" s="60"/>
      <c r="D53" s="60"/>
      <c r="E53" s="60"/>
      <c r="F53" s="60"/>
      <c r="G53" s="60"/>
      <c r="H53" s="60"/>
      <c r="I53" s="60"/>
      <c r="J53" s="78"/>
      <c r="K53" s="91">
        <f t="shared" ref="K53:R53" si="39">if(isblank(B20),0,$P$61)</f>
        <v>0</v>
      </c>
      <c r="L53" s="91">
        <f t="shared" si="39"/>
        <v>9</v>
      </c>
      <c r="M53" s="91">
        <f t="shared" si="39"/>
        <v>0</v>
      </c>
      <c r="N53" s="91">
        <f t="shared" si="39"/>
        <v>0</v>
      </c>
      <c r="O53" s="91">
        <f t="shared" si="39"/>
        <v>0</v>
      </c>
      <c r="P53" s="91">
        <f t="shared" si="39"/>
        <v>0</v>
      </c>
      <c r="Q53" s="91">
        <f t="shared" si="39"/>
        <v>0</v>
      </c>
      <c r="R53" s="91">
        <f t="shared" si="39"/>
        <v>0</v>
      </c>
      <c r="S53" s="73"/>
    </row>
    <row r="54" ht="22.5" hidden="1" customHeight="1">
      <c r="A54" s="73"/>
      <c r="B54" s="60"/>
      <c r="C54" s="60"/>
      <c r="D54" s="60"/>
      <c r="E54" s="60"/>
      <c r="F54" s="60"/>
      <c r="G54" s="60"/>
      <c r="H54" s="60"/>
      <c r="I54" s="60"/>
      <c r="J54" s="78"/>
      <c r="K54" s="91">
        <f t="shared" ref="K54:R54" si="40">K21</f>
        <v>0</v>
      </c>
      <c r="L54" s="91">
        <f t="shared" si="40"/>
        <v>0</v>
      </c>
      <c r="M54" s="91">
        <f t="shared" si="40"/>
        <v>0</v>
      </c>
      <c r="N54" s="91">
        <f t="shared" si="40"/>
        <v>0</v>
      </c>
      <c r="O54" s="91">
        <f t="shared" si="40"/>
        <v>0</v>
      </c>
      <c r="P54" s="91">
        <f t="shared" si="40"/>
        <v>0</v>
      </c>
      <c r="Q54" s="91">
        <f t="shared" si="40"/>
        <v>0</v>
      </c>
      <c r="R54" s="91">
        <f t="shared" si="40"/>
        <v>0</v>
      </c>
      <c r="S54" s="73"/>
    </row>
    <row r="55" ht="22.5" hidden="1" customHeight="1">
      <c r="A55" s="73"/>
      <c r="B55" s="60"/>
      <c r="C55" s="60"/>
      <c r="D55" s="60"/>
      <c r="E55" s="60"/>
      <c r="F55" s="60"/>
      <c r="G55" s="60"/>
      <c r="H55" s="60"/>
      <c r="I55" s="60"/>
      <c r="J55" s="78"/>
      <c r="K55" s="99"/>
      <c r="L55" s="110">
        <f t="shared" ref="L55:Q55" si="41">hlookup(L56,$K$48:$O$49,2,0)</f>
        <v>12</v>
      </c>
      <c r="M55" s="110">
        <f t="shared" si="41"/>
        <v>12</v>
      </c>
      <c r="N55" s="110">
        <f t="shared" si="41"/>
        <v>12</v>
      </c>
      <c r="O55" s="110">
        <f t="shared" si="41"/>
        <v>12</v>
      </c>
      <c r="P55" s="110">
        <f t="shared" si="41"/>
        <v>12</v>
      </c>
      <c r="Q55" s="110">
        <f t="shared" si="41"/>
        <v>12</v>
      </c>
      <c r="R55" s="99"/>
      <c r="S55" s="73"/>
    </row>
    <row r="56" ht="22.5" hidden="1" customHeight="1">
      <c r="A56" s="73"/>
      <c r="B56" s="60"/>
      <c r="C56" s="60"/>
      <c r="D56" s="60"/>
      <c r="E56" s="60"/>
      <c r="F56" s="60"/>
      <c r="G56" s="60"/>
      <c r="H56" s="60"/>
      <c r="I56" s="60"/>
      <c r="J56" s="78"/>
      <c r="K56" s="99"/>
      <c r="L56" s="91" t="str">
        <f t="shared" ref="L56:Q56" si="42">L23</f>
        <v>CB</v>
      </c>
      <c r="M56" s="91" t="str">
        <f t="shared" si="42"/>
        <v>DE</v>
      </c>
      <c r="N56" s="91" t="str">
        <f t="shared" si="42"/>
        <v>DT</v>
      </c>
      <c r="O56" s="91" t="str">
        <f t="shared" si="42"/>
        <v>DT</v>
      </c>
      <c r="P56" s="91" t="str">
        <f t="shared" si="42"/>
        <v>DE</v>
      </c>
      <c r="Q56" s="91" t="str">
        <f t="shared" si="42"/>
        <v>CB</v>
      </c>
      <c r="R56" s="60"/>
      <c r="S56" s="73"/>
    </row>
    <row r="57" ht="22.5" hidden="1" customHeight="1">
      <c r="A57" s="73"/>
      <c r="B57" s="60"/>
      <c r="C57" s="60"/>
      <c r="D57" s="60"/>
      <c r="E57" s="60"/>
      <c r="F57" s="60"/>
      <c r="G57" s="60"/>
      <c r="H57" s="60"/>
      <c r="I57" s="60"/>
      <c r="J57" s="78"/>
      <c r="K57" s="90"/>
      <c r="L57" s="94">
        <f t="shared" ref="L57:Q57" si="43">L24+(L24*(L55/100))+L58+L59</f>
        <v>137</v>
      </c>
      <c r="M57" s="94">
        <f t="shared" si="43"/>
        <v>115</v>
      </c>
      <c r="N57" s="94">
        <f t="shared" si="43"/>
        <v>136</v>
      </c>
      <c r="O57" s="94">
        <f t="shared" si="43"/>
        <v>115</v>
      </c>
      <c r="P57" s="94">
        <f t="shared" si="43"/>
        <v>102</v>
      </c>
      <c r="Q57" s="94">
        <f t="shared" si="43"/>
        <v>102</v>
      </c>
      <c r="R57" s="60"/>
      <c r="S57" s="73"/>
    </row>
    <row r="58" ht="22.5" hidden="1" customHeight="1">
      <c r="A58" s="73"/>
      <c r="B58" s="60"/>
      <c r="C58" s="60"/>
      <c r="D58" s="60"/>
      <c r="E58" s="60"/>
      <c r="F58" s="60"/>
      <c r="G58" s="60"/>
      <c r="H58" s="60"/>
      <c r="I58" s="60"/>
      <c r="J58" s="78"/>
      <c r="K58" s="90"/>
      <c r="L58" s="91">
        <f t="shared" ref="L58:Q58" si="44">if(isblank(C25),0,$P$61)</f>
        <v>9</v>
      </c>
      <c r="M58" s="91">
        <f t="shared" si="44"/>
        <v>0</v>
      </c>
      <c r="N58" s="91">
        <f t="shared" si="44"/>
        <v>9</v>
      </c>
      <c r="O58" s="91">
        <f t="shared" si="44"/>
        <v>0</v>
      </c>
      <c r="P58" s="91">
        <f t="shared" si="44"/>
        <v>0</v>
      </c>
      <c r="Q58" s="91">
        <f t="shared" si="44"/>
        <v>0</v>
      </c>
      <c r="R58" s="60"/>
      <c r="S58" s="73"/>
    </row>
    <row r="59" ht="22.5" hidden="1" customHeight="1">
      <c r="A59" s="73"/>
      <c r="B59" s="60"/>
      <c r="C59" s="60"/>
      <c r="D59" s="60"/>
      <c r="E59" s="60"/>
      <c r="F59" s="60"/>
      <c r="G59" s="60"/>
      <c r="H59" s="60"/>
      <c r="I59" s="60"/>
      <c r="J59" s="78"/>
      <c r="K59" s="100"/>
      <c r="L59" s="91">
        <f t="shared" ref="L59:Q59" si="45">L26</f>
        <v>0</v>
      </c>
      <c r="M59" s="91">
        <f t="shared" si="45"/>
        <v>0</v>
      </c>
      <c r="N59" s="91">
        <f t="shared" si="45"/>
        <v>0</v>
      </c>
      <c r="O59" s="91">
        <f t="shared" si="45"/>
        <v>0</v>
      </c>
      <c r="P59" s="91">
        <f t="shared" si="45"/>
        <v>0</v>
      </c>
      <c r="Q59" s="91">
        <f t="shared" si="45"/>
        <v>0</v>
      </c>
      <c r="R59" s="60"/>
      <c r="S59" s="73"/>
    </row>
    <row r="60" ht="22.5" hidden="1" customHeight="1">
      <c r="A60" s="73"/>
      <c r="B60" s="60"/>
      <c r="C60" s="60"/>
      <c r="D60" s="60"/>
      <c r="E60" s="60"/>
      <c r="F60" s="60"/>
      <c r="G60" s="60"/>
      <c r="H60" s="60"/>
      <c r="I60" s="60"/>
      <c r="J60" s="78"/>
      <c r="K60" s="103" t="s">
        <v>76</v>
      </c>
      <c r="L60" s="103" t="s">
        <v>77</v>
      </c>
      <c r="M60" s="103" t="s">
        <v>78</v>
      </c>
      <c r="N60" s="103" t="s">
        <v>79</v>
      </c>
      <c r="O60" s="80" t="s">
        <v>52</v>
      </c>
      <c r="P60" s="104" t="s">
        <v>80</v>
      </c>
      <c r="Q60" s="104" t="s">
        <v>81</v>
      </c>
      <c r="R60" s="104" t="s">
        <v>82</v>
      </c>
      <c r="S60" s="73"/>
    </row>
    <row r="61" ht="22.5" hidden="1" customHeight="1">
      <c r="A61" s="73"/>
      <c r="B61" s="60"/>
      <c r="C61" s="60"/>
      <c r="D61" s="60"/>
      <c r="E61" s="60"/>
      <c r="F61" s="60"/>
      <c r="G61" s="60"/>
      <c r="H61" s="60"/>
      <c r="I61" s="60"/>
      <c r="J61" s="78"/>
      <c r="K61" s="79">
        <f>vlookup($H$45,'Boost Data'!$S$1:$W$52,K35,0)</f>
        <v>12</v>
      </c>
      <c r="L61" s="79">
        <f>vlookup($H$45,'Boost Data'!$S$1:$W$52,L35,0)</f>
        <v>12</v>
      </c>
      <c r="M61" s="79">
        <f>vlookup($H$45,'Boost Data'!$S$1:$W$52,M35,0)</f>
        <v>12</v>
      </c>
      <c r="N61" s="79">
        <f>vlookup($H$45,'Boost Data'!$S$1:$W$52,N35,0)</f>
        <v>12</v>
      </c>
      <c r="O61" s="86">
        <f>VLOOKUP(H45,'Boost Data'!$S$1:$X$52,6,0)</f>
        <v>14380</v>
      </c>
      <c r="P61" s="105">
        <f>Countif($B$3:$I$33, "Mythic +1")</f>
        <v>9</v>
      </c>
      <c r="Q61" s="105">
        <f>Countif($B$3:$I$33, "Dual +2")*2</f>
        <v>0</v>
      </c>
      <c r="R61" s="105">
        <f>Countif($B$3:$I$33, "Dual +1")</f>
        <v>0</v>
      </c>
      <c r="S61" s="73"/>
    </row>
    <row r="62" ht="22.5" hidden="1" customHeight="1">
      <c r="A62" s="73"/>
      <c r="B62" s="60"/>
      <c r="C62" s="60"/>
      <c r="D62" s="60"/>
      <c r="E62" s="60"/>
      <c r="F62" s="60"/>
      <c r="G62" s="60"/>
      <c r="H62" s="60"/>
      <c r="I62" s="60"/>
      <c r="J62" s="78"/>
      <c r="K62" s="60"/>
      <c r="L62" s="60"/>
      <c r="M62" s="110">
        <f t="shared" ref="M62:P62" si="46">hlookup(M63,$K$60:$N$61,2,0)</f>
        <v>12</v>
      </c>
      <c r="N62" s="110">
        <f t="shared" si="46"/>
        <v>12</v>
      </c>
      <c r="O62" s="110">
        <f t="shared" si="46"/>
        <v>12</v>
      </c>
      <c r="P62" s="110">
        <f t="shared" si="46"/>
        <v>12</v>
      </c>
      <c r="Q62" s="60"/>
      <c r="R62" s="60"/>
      <c r="S62" s="73"/>
    </row>
    <row r="63" ht="22.5" hidden="1" customHeight="1">
      <c r="A63" s="73"/>
      <c r="B63" s="60"/>
      <c r="C63" s="60"/>
      <c r="D63" s="60"/>
      <c r="E63" s="60"/>
      <c r="F63" s="60"/>
      <c r="G63" s="60"/>
      <c r="H63" s="60"/>
      <c r="I63" s="60"/>
      <c r="J63" s="78"/>
      <c r="K63" s="60"/>
      <c r="L63" s="60"/>
      <c r="M63" s="91" t="str">
        <f t="shared" ref="M63:P63" si="47">M30</f>
        <v>K</v>
      </c>
      <c r="N63" s="91" t="str">
        <f t="shared" si="47"/>
        <v>KR</v>
      </c>
      <c r="O63" s="91" t="str">
        <f t="shared" si="47"/>
        <v>P</v>
      </c>
      <c r="P63" s="91" t="str">
        <f t="shared" si="47"/>
        <v>PR</v>
      </c>
      <c r="Q63" s="60"/>
      <c r="R63" s="60"/>
      <c r="S63" s="73"/>
    </row>
    <row r="64" ht="22.5" hidden="1" customHeight="1">
      <c r="A64" s="73"/>
      <c r="B64" s="60"/>
      <c r="C64" s="60"/>
      <c r="D64" s="60"/>
      <c r="E64" s="60"/>
      <c r="F64" s="60"/>
      <c r="G64" s="60"/>
      <c r="H64" s="60"/>
      <c r="I64" s="60"/>
      <c r="J64" s="78"/>
      <c r="K64" s="60"/>
      <c r="L64" s="60"/>
      <c r="M64" s="94">
        <f t="shared" ref="M64:P64" si="48">M31+(M31*(M62/100))+M65+M66</f>
        <v>102.4</v>
      </c>
      <c r="N64" s="94">
        <f t="shared" si="48"/>
        <v>136</v>
      </c>
      <c r="O64" s="94">
        <f t="shared" si="48"/>
        <v>102.2</v>
      </c>
      <c r="P64" s="94">
        <f t="shared" si="48"/>
        <v>136</v>
      </c>
      <c r="Q64" s="60"/>
      <c r="R64" s="60"/>
      <c r="S64" s="73"/>
    </row>
    <row r="65" ht="22.5" hidden="1" customHeight="1">
      <c r="A65" s="73"/>
      <c r="B65" s="60"/>
      <c r="C65" s="60"/>
      <c r="D65" s="60"/>
      <c r="E65" s="60"/>
      <c r="F65" s="60"/>
      <c r="G65" s="60"/>
      <c r="H65" s="60"/>
      <c r="I65" s="60"/>
      <c r="J65" s="78"/>
      <c r="K65" s="60"/>
      <c r="L65" s="60"/>
      <c r="M65" s="91">
        <f t="shared" ref="M65:P65" si="49">if(isblank(D32),0,$P$61)</f>
        <v>0</v>
      </c>
      <c r="N65" s="91">
        <f t="shared" si="49"/>
        <v>9</v>
      </c>
      <c r="O65" s="91">
        <f t="shared" si="49"/>
        <v>0</v>
      </c>
      <c r="P65" s="91">
        <f t="shared" si="49"/>
        <v>9</v>
      </c>
      <c r="Q65" s="60"/>
      <c r="R65" s="60"/>
      <c r="S65" s="73"/>
    </row>
    <row r="66" ht="22.5" hidden="1" customHeight="1">
      <c r="A66" s="73"/>
      <c r="B66" s="60"/>
      <c r="C66" s="60"/>
      <c r="D66" s="60"/>
      <c r="E66" s="60"/>
      <c r="F66" s="60"/>
      <c r="G66" s="60"/>
      <c r="H66" s="60"/>
      <c r="I66" s="60"/>
      <c r="J66" s="78"/>
      <c r="K66" s="60"/>
      <c r="L66" s="60"/>
      <c r="M66" s="91">
        <f t="shared" ref="M66:P66" si="50">M33</f>
        <v>0</v>
      </c>
      <c r="N66" s="91">
        <f t="shared" si="50"/>
        <v>0</v>
      </c>
      <c r="O66" s="91">
        <f t="shared" si="50"/>
        <v>0</v>
      </c>
      <c r="P66" s="91">
        <f t="shared" si="50"/>
        <v>0</v>
      </c>
      <c r="Q66" s="60"/>
      <c r="R66" s="60"/>
      <c r="S66" s="73"/>
    </row>
    <row r="67" ht="22.5" hidden="1" customHeight="1">
      <c r="A67" s="73"/>
      <c r="B67" s="60"/>
      <c r="C67" s="60"/>
      <c r="D67" s="60"/>
      <c r="E67" s="60"/>
      <c r="F67" s="60"/>
      <c r="G67" s="60"/>
      <c r="H67" s="60"/>
      <c r="I67" s="60"/>
      <c r="J67" s="78"/>
      <c r="K67" s="60"/>
      <c r="L67" s="60"/>
      <c r="M67" s="60"/>
      <c r="N67" s="60"/>
      <c r="O67" s="60"/>
      <c r="P67" s="60"/>
      <c r="Q67" s="60"/>
      <c r="R67" s="60"/>
      <c r="S67" s="73"/>
    </row>
    <row r="68" ht="22.5" customHeight="1">
      <c r="A68" s="73"/>
      <c r="B68" s="111"/>
      <c r="C68" s="111"/>
      <c r="D68" s="111"/>
      <c r="E68" s="111"/>
      <c r="F68" s="111"/>
      <c r="G68" s="111"/>
      <c r="H68" s="111"/>
      <c r="I68" s="111"/>
      <c r="J68" s="78"/>
      <c r="K68" s="60"/>
      <c r="L68" s="60"/>
      <c r="M68" s="60"/>
      <c r="N68" s="60"/>
      <c r="O68" s="60"/>
      <c r="P68" s="60"/>
      <c r="Q68" s="60"/>
      <c r="R68" s="60"/>
      <c r="S68" s="73"/>
    </row>
  </sheetData>
  <mergeCells count="7">
    <mergeCell ref="B1:D1"/>
    <mergeCell ref="B2:D2"/>
    <mergeCell ref="B3:D3"/>
    <mergeCell ref="B35:I35"/>
    <mergeCell ref="H37:H38"/>
    <mergeCell ref="H41:H42"/>
    <mergeCell ref="H45:H46"/>
  </mergeCells>
  <conditionalFormatting sqref="F1">
    <cfRule type="cellIs" dxfId="0" priority="1" operator="greaterThanOrEqual">
      <formula>F2</formula>
    </cfRule>
  </conditionalFormatting>
  <dataValidations>
    <dataValidation type="list" allowBlank="1" showErrorMessage="1" sqref="B9:H9 C14:G14 B21:I21 C26:H26 D33:G33">
      <formula1>'Projection 2'!$R$11:$R$12</formula1>
    </dataValidation>
    <dataValidation type="list" allowBlank="1" showErrorMessage="1" sqref="C11">
      <formula1>"WR,TE"</formula1>
    </dataValidation>
    <dataValidation type="list" allowBlank="1" showErrorMessage="1" sqref="B8:H8 C13:G13 B20:I20 C25:H25 D32:G32">
      <formula1>"Mythic +1,Mythic +0"</formula1>
    </dataValidation>
    <dataValidation type="list" allowBlank="1" showErrorMessage="1" sqref="C23 H23">
      <formula1>"CB,S"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13.25"/>
    <col customWidth="1" hidden="1" min="10" max="10" width="6.38"/>
    <col hidden="1" min="11" max="17" width="12.63"/>
    <col customWidth="1" min="18" max="18" width="3.88"/>
  </cols>
  <sheetData>
    <row r="1" ht="45.0" customHeight="1">
      <c r="A1" s="117"/>
      <c r="B1" s="118" t="s">
        <v>87</v>
      </c>
      <c r="F1" s="119" t="s">
        <v>88</v>
      </c>
      <c r="G1" s="120">
        <f>sum(K9:K125)*N2+G4</f>
        <v>-1153174.88</v>
      </c>
      <c r="H1" s="119" t="s">
        <v>89</v>
      </c>
      <c r="I1" s="120">
        <f>'Boostimator 26'!H1</f>
        <v>130500</v>
      </c>
      <c r="J1" s="121"/>
      <c r="K1" s="122" t="s">
        <v>90</v>
      </c>
      <c r="L1" s="123" t="s">
        <v>91</v>
      </c>
      <c r="M1" s="124" t="s">
        <v>92</v>
      </c>
      <c r="N1" s="125" t="s">
        <v>93</v>
      </c>
      <c r="O1" s="126"/>
      <c r="P1" s="125" t="s">
        <v>94</v>
      </c>
      <c r="Q1" s="126"/>
      <c r="R1" s="117"/>
    </row>
    <row r="2" ht="22.5" customHeight="1">
      <c r="A2" s="127"/>
      <c r="B2" s="128" t="s">
        <v>95</v>
      </c>
      <c r="D2" s="84" t="s">
        <v>96</v>
      </c>
      <c r="E2" s="129" t="s">
        <v>97</v>
      </c>
      <c r="F2" s="84" t="s">
        <v>98</v>
      </c>
      <c r="G2" s="130">
        <f>SUM(M:M)</f>
        <v>-13350</v>
      </c>
      <c r="H2" s="84" t="s">
        <v>99</v>
      </c>
      <c r="I2" s="131">
        <f>SUM(L:L)</f>
        <v>29.99</v>
      </c>
      <c r="J2" s="132"/>
      <c r="K2" s="133"/>
      <c r="L2" s="131">
        <f>if(E2="Yes",29.99,0)</f>
        <v>29.99</v>
      </c>
      <c r="M2" s="134"/>
      <c r="N2" s="135">
        <f>if(E2="Yes",1.3,1)</f>
        <v>1.3</v>
      </c>
      <c r="P2" s="99">
        <f>Schedule!F2</f>
        <v>0</v>
      </c>
      <c r="Q2" s="136"/>
      <c r="R2" s="127"/>
    </row>
    <row r="3" ht="22.5" customHeight="1">
      <c r="A3" s="127"/>
      <c r="B3" s="137" t="s">
        <v>100</v>
      </c>
      <c r="C3" s="138">
        <v>45876.0</v>
      </c>
      <c r="D3" s="69" t="s">
        <v>101</v>
      </c>
      <c r="E3" s="139">
        <f>IF(B2="MONTHLY TOTAL",(C4-C3),C4-TODAY())</f>
        <v>-267</v>
      </c>
      <c r="F3" s="69" t="s">
        <v>102</v>
      </c>
      <c r="G3" s="139">
        <f>(NOW()-(C3+E4)+1)</f>
        <v>300.3715188</v>
      </c>
      <c r="H3" s="67"/>
      <c r="I3" s="67"/>
      <c r="J3" s="121"/>
      <c r="K3" s="140"/>
      <c r="L3" s="131"/>
      <c r="M3" s="134"/>
      <c r="N3" s="141"/>
      <c r="O3" s="141"/>
      <c r="P3" s="141"/>
      <c r="Q3" s="141"/>
      <c r="R3" s="127"/>
    </row>
    <row r="4" ht="22.5" customHeight="1">
      <c r="A4" s="127"/>
      <c r="B4" s="137" t="s">
        <v>103</v>
      </c>
      <c r="C4" s="138">
        <v>45908.0</v>
      </c>
      <c r="D4" s="69" t="s">
        <v>104</v>
      </c>
      <c r="E4" s="142">
        <v>0.3958333333333333</v>
      </c>
      <c r="F4" s="84" t="s">
        <v>105</v>
      </c>
      <c r="G4" s="143"/>
      <c r="H4" s="67"/>
      <c r="I4" s="67"/>
      <c r="J4" s="121"/>
      <c r="K4" s="140"/>
      <c r="L4" s="131"/>
      <c r="M4" s="134"/>
      <c r="P4" s="99"/>
      <c r="Q4" s="99"/>
      <c r="R4" s="127"/>
    </row>
    <row r="5" ht="22.5" customHeight="1">
      <c r="A5" s="127"/>
      <c r="B5" s="144"/>
      <c r="C5" s="141"/>
      <c r="D5" s="141"/>
      <c r="E5" s="141"/>
      <c r="F5" s="141"/>
      <c r="G5" s="145"/>
      <c r="H5" s="145"/>
      <c r="I5" s="145"/>
      <c r="J5" s="146"/>
      <c r="K5" s="122"/>
      <c r="L5" s="131"/>
      <c r="M5" s="134"/>
      <c r="N5" s="141"/>
      <c r="O5" s="141"/>
      <c r="P5" s="141"/>
      <c r="Q5" s="141"/>
      <c r="R5" s="127"/>
    </row>
    <row r="6" ht="22.5" customHeight="1">
      <c r="A6" s="127"/>
      <c r="B6" s="81" t="s">
        <v>106</v>
      </c>
      <c r="C6" s="81"/>
      <c r="D6" s="84" t="s">
        <v>107</v>
      </c>
      <c r="E6" s="83">
        <f>'Boostimator 26'!H37</f>
        <v>40</v>
      </c>
      <c r="F6" s="84" t="s">
        <v>108</v>
      </c>
      <c r="G6" s="83">
        <f>'Boostimator 26'!H41</f>
        <v>30</v>
      </c>
      <c r="H6" s="84" t="s">
        <v>109</v>
      </c>
      <c r="I6" s="83">
        <f>'Boostimator 26'!H45</f>
        <v>31</v>
      </c>
      <c r="J6" s="146"/>
      <c r="K6" s="122"/>
      <c r="L6" s="131"/>
      <c r="M6" s="134"/>
      <c r="N6" s="141"/>
      <c r="O6" s="141"/>
      <c r="P6" s="141"/>
      <c r="Q6" s="141"/>
      <c r="R6" s="127"/>
    </row>
    <row r="7" ht="22.5" customHeight="1">
      <c r="A7" s="127"/>
      <c r="B7" s="144"/>
      <c r="C7" s="141"/>
      <c r="D7" s="141"/>
      <c r="E7" s="141"/>
      <c r="F7" s="141"/>
      <c r="G7" s="145"/>
      <c r="H7" s="145"/>
      <c r="I7" s="145"/>
      <c r="J7" s="146"/>
      <c r="K7" s="122"/>
      <c r="L7" s="131"/>
      <c r="M7" s="134"/>
      <c r="N7" s="141"/>
      <c r="O7" s="141"/>
      <c r="P7" s="141"/>
      <c r="Q7" s="141"/>
      <c r="R7" s="127"/>
    </row>
    <row r="8" ht="22.5" customHeight="1">
      <c r="A8" s="127"/>
      <c r="B8" s="81" t="s">
        <v>110</v>
      </c>
      <c r="J8" s="147"/>
      <c r="K8" s="122"/>
      <c r="L8" s="131"/>
      <c r="M8" s="134"/>
      <c r="N8" s="141"/>
      <c r="O8" s="141"/>
      <c r="P8" s="141"/>
      <c r="Q8" s="141"/>
      <c r="R8" s="127"/>
    </row>
    <row r="9" ht="22.5" customHeight="1">
      <c r="A9" s="127"/>
      <c r="B9" s="74" t="s">
        <v>111</v>
      </c>
      <c r="C9" s="129" t="s">
        <v>90</v>
      </c>
      <c r="D9" s="84" t="s">
        <v>112</v>
      </c>
      <c r="E9" s="129" t="s">
        <v>113</v>
      </c>
      <c r="F9" s="84" t="s">
        <v>114</v>
      </c>
      <c r="G9" s="129" t="s">
        <v>97</v>
      </c>
      <c r="H9" s="84"/>
      <c r="I9" s="84"/>
      <c r="J9" s="147" t="s">
        <v>88</v>
      </c>
      <c r="K9" s="122">
        <f>IF(C9="TTP",SUM(E11:E14)*$E$3,0)</f>
        <v>-540087.6</v>
      </c>
      <c r="L9" s="131"/>
      <c r="M9" s="134">
        <f>if(G9="Yes",(E3*50),0)</f>
        <v>-13350</v>
      </c>
      <c r="N9" s="141"/>
      <c r="O9" s="141"/>
      <c r="P9" s="141"/>
      <c r="Q9" s="141"/>
      <c r="R9" s="127"/>
    </row>
    <row r="10" ht="22.5" customHeight="1">
      <c r="A10" s="127"/>
      <c r="B10" s="148" t="s">
        <v>115</v>
      </c>
      <c r="C10" s="149" t="s">
        <v>116</v>
      </c>
      <c r="D10" s="149" t="s">
        <v>117</v>
      </c>
      <c r="E10" s="149" t="s">
        <v>118</v>
      </c>
      <c r="F10" s="150"/>
      <c r="G10" s="151"/>
      <c r="H10" s="151"/>
      <c r="I10" s="151"/>
      <c r="J10" s="146"/>
      <c r="K10" s="122"/>
      <c r="L10" s="131"/>
      <c r="M10" s="134"/>
      <c r="N10" s="141"/>
      <c r="P10" s="141"/>
      <c r="Q10" s="141"/>
      <c r="R10" s="127"/>
    </row>
    <row r="11" ht="22.5" customHeight="1">
      <c r="A11" s="127"/>
      <c r="B11" s="152" t="s">
        <v>119</v>
      </c>
      <c r="C11" s="136">
        <f>IF($C$9="TTP",N11,P11)*N2</f>
        <v>50.7</v>
      </c>
      <c r="D11" s="129">
        <v>1.0</v>
      </c>
      <c r="E11" s="153">
        <f t="shared" ref="E11:E14" si="1">PRODUCT(C11:D11)</f>
        <v>50.7</v>
      </c>
      <c r="F11" s="141"/>
      <c r="G11" s="145"/>
      <c r="H11" s="145"/>
      <c r="I11" s="145"/>
      <c r="J11" s="146"/>
      <c r="K11" s="122"/>
      <c r="L11" s="131"/>
      <c r="M11" s="134"/>
      <c r="N11" s="136">
        <f>(32+O11)</f>
        <v>39</v>
      </c>
      <c r="O11" s="136">
        <f>if($E$9="Diamond", 7,5)</f>
        <v>7</v>
      </c>
      <c r="P11" s="141">
        <f>1620+Q11</f>
        <v>1980</v>
      </c>
      <c r="Q11" s="136">
        <f>if($E$9="Diamond", 360,270)</f>
        <v>360</v>
      </c>
      <c r="R11" s="127"/>
    </row>
    <row r="12" ht="22.5" customHeight="1">
      <c r="A12" s="127"/>
      <c r="B12" s="152" t="s">
        <v>120</v>
      </c>
      <c r="C12" s="136">
        <f>IF($C$9="TTP",N12,P12)*N2</f>
        <v>171.6</v>
      </c>
      <c r="D12" s="129">
        <v>1.0</v>
      </c>
      <c r="E12" s="153">
        <f t="shared" si="1"/>
        <v>171.6</v>
      </c>
      <c r="F12" s="141"/>
      <c r="G12" s="145"/>
      <c r="H12" s="145"/>
      <c r="I12" s="145"/>
      <c r="J12" s="146"/>
      <c r="K12" s="122"/>
      <c r="L12" s="131"/>
      <c r="M12" s="134"/>
      <c r="N12" s="136">
        <f>(108+O12)</f>
        <v>132</v>
      </c>
      <c r="O12" s="136">
        <f>if($E$9="Diamond", 24,18)</f>
        <v>24</v>
      </c>
      <c r="P12" s="141">
        <f>5460+Q12</f>
        <v>6660</v>
      </c>
      <c r="Q12" s="136">
        <f>if($E$9="Diamond", 1200,900)</f>
        <v>1200</v>
      </c>
      <c r="R12" s="127"/>
    </row>
    <row r="13" ht="22.5" customHeight="1">
      <c r="A13" s="127"/>
      <c r="B13" s="152" t="s">
        <v>121</v>
      </c>
      <c r="C13" s="136">
        <f>IF($C$9="TTP",N13,P13)*N2</f>
        <v>314.6</v>
      </c>
      <c r="D13" s="129">
        <v>1.0</v>
      </c>
      <c r="E13" s="153">
        <f t="shared" si="1"/>
        <v>314.6</v>
      </c>
      <c r="F13" s="141"/>
      <c r="G13" s="145"/>
      <c r="H13" s="145"/>
      <c r="I13" s="145"/>
      <c r="J13" s="146"/>
      <c r="K13" s="122"/>
      <c r="L13" s="131"/>
      <c r="M13" s="134"/>
      <c r="N13" s="141">
        <f>(198+O13)</f>
        <v>242</v>
      </c>
      <c r="O13" s="136">
        <f>if($E$9="Diamond", 44,33)</f>
        <v>44</v>
      </c>
      <c r="P13" s="141">
        <f>9900+Q13</f>
        <v>13360</v>
      </c>
      <c r="Q13" s="136">
        <f>if($E$9="Diamond", 3460,2600)</f>
        <v>3460</v>
      </c>
      <c r="R13" s="127"/>
    </row>
    <row r="14" ht="22.5" customHeight="1">
      <c r="A14" s="127"/>
      <c r="B14" s="152" t="s">
        <v>122</v>
      </c>
      <c r="C14" s="136">
        <f>IF($C$9="TTP",N14,P14)*N2</f>
        <v>495.3</v>
      </c>
      <c r="D14" s="129">
        <v>3.0</v>
      </c>
      <c r="E14" s="153">
        <f t="shared" si="1"/>
        <v>1485.9</v>
      </c>
      <c r="F14" s="141"/>
      <c r="G14" s="145"/>
      <c r="H14" s="145"/>
      <c r="I14" s="145"/>
      <c r="J14" s="146"/>
      <c r="K14" s="122"/>
      <c r="L14" s="131"/>
      <c r="M14" s="134"/>
      <c r="N14" s="141">
        <f>(311+O14)</f>
        <v>381</v>
      </c>
      <c r="O14" s="136">
        <f>if($E$9="Diamond", 70,52)</f>
        <v>70</v>
      </c>
      <c r="P14" s="141">
        <f>15500+Q14</f>
        <v>17700</v>
      </c>
      <c r="Q14" s="136">
        <f>if($E$9="Diamond", 2200,1650)</f>
        <v>2200</v>
      </c>
      <c r="R14" s="127"/>
    </row>
    <row r="15" ht="22.5" customHeight="1">
      <c r="A15" s="127"/>
      <c r="B15" s="144"/>
      <c r="C15" s="141"/>
      <c r="D15" s="141"/>
      <c r="E15" s="141"/>
      <c r="F15" s="141"/>
      <c r="G15" s="145"/>
      <c r="H15" s="145"/>
      <c r="I15" s="145"/>
      <c r="J15" s="146"/>
      <c r="K15" s="122"/>
      <c r="L15" s="131"/>
      <c r="M15" s="134"/>
      <c r="N15" s="141"/>
      <c r="O15" s="141"/>
      <c r="P15" s="141"/>
      <c r="Q15" s="141"/>
      <c r="R15" s="127"/>
    </row>
    <row r="16" ht="22.5" customHeight="1">
      <c r="A16" s="127"/>
      <c r="B16" s="74" t="s">
        <v>123</v>
      </c>
      <c r="C16" s="84" t="s">
        <v>124</v>
      </c>
      <c r="D16" s="129" t="s">
        <v>125</v>
      </c>
      <c r="E16" s="154">
        <f>if(C16="Yes",1,0)</f>
        <v>0</v>
      </c>
      <c r="F16" s="155"/>
      <c r="G16" s="84"/>
      <c r="H16" s="84"/>
      <c r="I16" s="84"/>
      <c r="J16" s="147" t="s">
        <v>88</v>
      </c>
      <c r="K16" s="122">
        <f>sum(C18:C20)+(N16*sum(D18:E20))</f>
        <v>600</v>
      </c>
      <c r="L16" s="131">
        <f>if(D16="Yes",29.99,0)</f>
        <v>0</v>
      </c>
      <c r="M16" s="134"/>
      <c r="N16" s="141">
        <f>if(D16="Yes",1,0)</f>
        <v>0</v>
      </c>
      <c r="O16" s="141"/>
      <c r="P16" s="141"/>
      <c r="Q16" s="141"/>
      <c r="R16" s="127"/>
    </row>
    <row r="17" ht="22.5" hidden="1" customHeight="1">
      <c r="A17" s="127"/>
      <c r="B17" s="156"/>
      <c r="C17" s="157" t="s">
        <v>126</v>
      </c>
      <c r="D17" s="157" t="s">
        <v>127</v>
      </c>
      <c r="E17" s="157" t="s">
        <v>128</v>
      </c>
      <c r="F17" s="157"/>
      <c r="G17" s="146"/>
      <c r="H17" s="146"/>
      <c r="I17" s="146"/>
      <c r="J17" s="146"/>
      <c r="K17" s="122"/>
      <c r="L17" s="131"/>
      <c r="M17" s="134"/>
      <c r="N17" s="141"/>
      <c r="O17" s="141"/>
      <c r="P17" s="141"/>
      <c r="Q17" s="141"/>
      <c r="R17" s="127"/>
    </row>
    <row r="18" ht="22.5" hidden="1" customHeight="1">
      <c r="A18" s="127"/>
      <c r="B18" s="152" t="s">
        <v>129</v>
      </c>
      <c r="C18" s="136">
        <v>400.0</v>
      </c>
      <c r="D18" s="136">
        <v>140.0</v>
      </c>
      <c r="E18" s="136">
        <v>900.0</v>
      </c>
      <c r="F18" s="136"/>
      <c r="G18" s="145"/>
      <c r="H18" s="145"/>
      <c r="I18" s="145"/>
      <c r="J18" s="146"/>
      <c r="K18" s="122"/>
      <c r="L18" s="131"/>
      <c r="M18" s="134"/>
      <c r="N18" s="141"/>
      <c r="O18" s="141"/>
      <c r="P18" s="141"/>
      <c r="Q18" s="141"/>
      <c r="R18" s="127"/>
    </row>
    <row r="19" ht="22.5" hidden="1" customHeight="1">
      <c r="A19" s="127"/>
      <c r="B19" s="144"/>
      <c r="C19" s="136">
        <v>200.0</v>
      </c>
      <c r="D19" s="136">
        <v>1000.0</v>
      </c>
      <c r="E19" s="136"/>
      <c r="F19" s="136"/>
      <c r="G19" s="145"/>
      <c r="H19" s="145"/>
      <c r="I19" s="145"/>
      <c r="J19" s="146"/>
      <c r="K19" s="122"/>
      <c r="L19" s="131"/>
      <c r="M19" s="134"/>
      <c r="N19" s="141"/>
      <c r="O19" s="141"/>
      <c r="P19" s="141"/>
      <c r="Q19" s="141"/>
      <c r="R19" s="127"/>
    </row>
    <row r="20" ht="22.5" hidden="1" customHeight="1">
      <c r="A20" s="127"/>
      <c r="B20" s="144"/>
      <c r="C20" s="136"/>
      <c r="D20" s="136"/>
      <c r="E20" s="136"/>
      <c r="F20" s="136"/>
      <c r="G20" s="145"/>
      <c r="H20" s="145"/>
      <c r="I20" s="145"/>
      <c r="J20" s="146"/>
      <c r="K20" s="122"/>
      <c r="L20" s="131"/>
      <c r="M20" s="134"/>
      <c r="N20" s="141"/>
      <c r="O20" s="141"/>
      <c r="P20" s="141"/>
      <c r="Q20" s="141"/>
      <c r="R20" s="127"/>
    </row>
    <row r="21" ht="22.5" customHeight="1">
      <c r="A21" s="127"/>
      <c r="B21" s="144"/>
      <c r="C21" s="141"/>
      <c r="D21" s="141"/>
      <c r="E21" s="141"/>
      <c r="F21" s="141"/>
      <c r="G21" s="145"/>
      <c r="H21" s="145"/>
      <c r="I21" s="145"/>
      <c r="J21" s="146"/>
      <c r="K21" s="122"/>
      <c r="L21" s="131"/>
      <c r="M21" s="134"/>
      <c r="N21" s="141"/>
      <c r="O21" s="141"/>
      <c r="P21" s="141"/>
      <c r="Q21" s="141"/>
      <c r="R21" s="127"/>
    </row>
    <row r="22" ht="22.5" customHeight="1">
      <c r="A22" s="127"/>
      <c r="B22" s="74" t="s">
        <v>130</v>
      </c>
      <c r="C22" s="84" t="s">
        <v>124</v>
      </c>
      <c r="D22" s="129" t="s">
        <v>125</v>
      </c>
      <c r="E22" s="154">
        <f>if(C22="Yes",1,0)</f>
        <v>0</v>
      </c>
      <c r="F22" s="155"/>
      <c r="G22" s="84"/>
      <c r="H22" s="84"/>
      <c r="I22" s="84"/>
      <c r="J22" s="147" t="s">
        <v>88</v>
      </c>
      <c r="K22" s="122">
        <f>sum(C24:C26)+(N22*sum(D24:E26))</f>
        <v>600</v>
      </c>
      <c r="L22" s="131">
        <f>if(D22="Yes",29.99,0)</f>
        <v>0</v>
      </c>
      <c r="M22" s="134"/>
      <c r="N22" s="141">
        <f>if(D22="Yes",1,0)</f>
        <v>0</v>
      </c>
      <c r="O22" s="141"/>
      <c r="P22" s="141"/>
      <c r="Q22" s="141"/>
      <c r="R22" s="127"/>
    </row>
    <row r="23" ht="22.5" hidden="1" customHeight="1">
      <c r="A23" s="127"/>
      <c r="B23" s="156"/>
      <c r="C23" s="157" t="s">
        <v>126</v>
      </c>
      <c r="D23" s="157" t="s">
        <v>127</v>
      </c>
      <c r="E23" s="157" t="s">
        <v>128</v>
      </c>
      <c r="F23" s="157"/>
      <c r="G23" s="146"/>
      <c r="H23" s="146"/>
      <c r="I23" s="146"/>
      <c r="J23" s="146"/>
      <c r="K23" s="122"/>
      <c r="L23" s="131"/>
      <c r="M23" s="134"/>
      <c r="N23" s="141"/>
      <c r="O23" s="141"/>
      <c r="P23" s="141"/>
      <c r="Q23" s="141"/>
      <c r="R23" s="127"/>
    </row>
    <row r="24" ht="22.5" hidden="1" customHeight="1">
      <c r="A24" s="127"/>
      <c r="B24" s="152" t="s">
        <v>129</v>
      </c>
      <c r="C24" s="136">
        <v>400.0</v>
      </c>
      <c r="D24" s="136">
        <v>140.0</v>
      </c>
      <c r="E24" s="136">
        <v>900.0</v>
      </c>
      <c r="F24" s="136"/>
      <c r="G24" s="145"/>
      <c r="H24" s="145"/>
      <c r="I24" s="145"/>
      <c r="J24" s="146"/>
      <c r="K24" s="122"/>
      <c r="L24" s="131"/>
      <c r="M24" s="134"/>
      <c r="N24" s="141"/>
      <c r="O24" s="141"/>
      <c r="P24" s="141"/>
      <c r="Q24" s="141"/>
      <c r="R24" s="127"/>
    </row>
    <row r="25" ht="22.5" hidden="1" customHeight="1">
      <c r="A25" s="127"/>
      <c r="B25" s="144"/>
      <c r="C25" s="136">
        <v>200.0</v>
      </c>
      <c r="D25" s="136">
        <v>1000.0</v>
      </c>
      <c r="E25" s="136"/>
      <c r="F25" s="136"/>
      <c r="G25" s="145"/>
      <c r="H25" s="145"/>
      <c r="I25" s="145"/>
      <c r="J25" s="146"/>
      <c r="K25" s="122"/>
      <c r="L25" s="131"/>
      <c r="M25" s="134"/>
      <c r="N25" s="141"/>
      <c r="O25" s="141"/>
      <c r="P25" s="141"/>
      <c r="Q25" s="141"/>
      <c r="R25" s="127"/>
    </row>
    <row r="26" ht="22.5" hidden="1" customHeight="1">
      <c r="A26" s="127"/>
      <c r="B26" s="144"/>
      <c r="C26" s="136"/>
      <c r="D26" s="136"/>
      <c r="E26" s="136"/>
      <c r="F26" s="136"/>
      <c r="G26" s="145"/>
      <c r="H26" s="145"/>
      <c r="I26" s="145"/>
      <c r="J26" s="146"/>
      <c r="K26" s="122"/>
      <c r="L26" s="131"/>
      <c r="M26" s="134"/>
      <c r="N26" s="141"/>
      <c r="O26" s="141"/>
      <c r="P26" s="141"/>
      <c r="Q26" s="141"/>
      <c r="R26" s="127"/>
    </row>
    <row r="27" ht="22.5" customHeight="1">
      <c r="A27" s="127"/>
      <c r="B27" s="144"/>
      <c r="C27" s="136"/>
      <c r="D27" s="136"/>
      <c r="E27" s="136"/>
      <c r="F27" s="136"/>
      <c r="G27" s="145"/>
      <c r="H27" s="145"/>
      <c r="I27" s="145"/>
      <c r="J27" s="146"/>
      <c r="K27" s="122"/>
      <c r="L27" s="131"/>
      <c r="M27" s="134"/>
      <c r="N27" s="141"/>
      <c r="O27" s="141"/>
      <c r="P27" s="141"/>
      <c r="Q27" s="141"/>
      <c r="R27" s="127"/>
    </row>
    <row r="28" ht="22.5" customHeight="1">
      <c r="A28" s="127"/>
      <c r="B28" s="158" t="s">
        <v>131</v>
      </c>
      <c r="J28" s="147"/>
      <c r="K28" s="122"/>
      <c r="L28" s="131"/>
      <c r="M28" s="134"/>
      <c r="N28" s="141"/>
      <c r="O28" s="141"/>
      <c r="P28" s="141"/>
      <c r="Q28" s="141"/>
      <c r="R28" s="127"/>
    </row>
    <row r="29" ht="22.5" customHeight="1">
      <c r="A29" s="127"/>
      <c r="B29" s="74" t="s">
        <v>132</v>
      </c>
      <c r="C29" s="77"/>
      <c r="D29" s="77"/>
      <c r="E29" s="77" t="s">
        <v>90</v>
      </c>
      <c r="F29" s="155"/>
      <c r="G29" s="84"/>
      <c r="H29" s="84"/>
      <c r="I29" s="84"/>
      <c r="J29" s="147" t="s">
        <v>88</v>
      </c>
      <c r="K29" s="122">
        <f>N30*E3</f>
        <v>0</v>
      </c>
      <c r="L29" s="131"/>
      <c r="M29" s="134"/>
      <c r="N29" s="136" t="s">
        <v>133</v>
      </c>
      <c r="O29" s="141"/>
      <c r="P29" s="141"/>
      <c r="Q29" s="141"/>
      <c r="R29" s="127"/>
    </row>
    <row r="30" ht="22.5" customHeight="1">
      <c r="A30" s="127"/>
      <c r="B30" s="152" t="s">
        <v>134</v>
      </c>
      <c r="C30" s="129"/>
      <c r="E30" s="153">
        <f>iferror(vlookup(C30,Leaderboards!E46:F100,2,0),0)</f>
        <v>0</v>
      </c>
      <c r="F30" s="136"/>
      <c r="G30" s="145"/>
      <c r="H30" s="159"/>
      <c r="I30" s="145"/>
      <c r="J30" s="146"/>
      <c r="K30" s="122"/>
      <c r="L30" s="131"/>
      <c r="M30" s="134"/>
      <c r="N30" s="136">
        <f>AVERAGE(E30:E31)</f>
        <v>0</v>
      </c>
      <c r="O30" s="141"/>
      <c r="P30" s="141"/>
      <c r="Q30" s="141"/>
      <c r="R30" s="127"/>
    </row>
    <row r="31" ht="22.5" customHeight="1">
      <c r="A31" s="127"/>
      <c r="B31" s="152" t="s">
        <v>135</v>
      </c>
      <c r="C31" s="129"/>
      <c r="E31" s="153">
        <f>iferror(vlookup(C31,Leaderboards!E46:F100,2,0),0)</f>
        <v>0</v>
      </c>
      <c r="F31" s="141"/>
      <c r="G31" s="145"/>
      <c r="H31" s="159"/>
      <c r="I31" s="145"/>
      <c r="J31" s="146"/>
      <c r="K31" s="122"/>
      <c r="L31" s="131"/>
      <c r="M31" s="134"/>
      <c r="N31" s="141"/>
      <c r="O31" s="141"/>
      <c r="P31" s="141"/>
      <c r="Q31" s="141"/>
      <c r="R31" s="127"/>
    </row>
    <row r="32" ht="22.5" customHeight="1">
      <c r="A32" s="127"/>
      <c r="B32" s="144"/>
      <c r="C32" s="141"/>
      <c r="D32" s="141"/>
      <c r="E32" s="141"/>
      <c r="F32" s="141"/>
      <c r="G32" s="145"/>
      <c r="H32" s="145"/>
      <c r="I32" s="145"/>
      <c r="J32" s="146"/>
      <c r="K32" s="122"/>
      <c r="L32" s="131"/>
      <c r="M32" s="134"/>
      <c r="N32" s="141"/>
      <c r="O32" s="141"/>
      <c r="P32" s="141"/>
      <c r="Q32" s="141"/>
      <c r="R32" s="127"/>
    </row>
    <row r="33" ht="22.5" customHeight="1">
      <c r="A33" s="127"/>
      <c r="B33" s="74" t="s">
        <v>136</v>
      </c>
      <c r="C33" s="160" t="s">
        <v>137</v>
      </c>
      <c r="D33" s="77" t="s">
        <v>138</v>
      </c>
      <c r="E33" s="77" t="s">
        <v>139</v>
      </c>
      <c r="F33" s="77" t="s">
        <v>140</v>
      </c>
      <c r="G33" s="77" t="s">
        <v>141</v>
      </c>
      <c r="H33" s="84"/>
      <c r="I33" s="84"/>
      <c r="J33" s="147" t="s">
        <v>88</v>
      </c>
      <c r="K33" s="122">
        <f>sum(C34:G37)*Schedule!M2</f>
        <v>0</v>
      </c>
      <c r="L33" s="131"/>
      <c r="M33" s="134"/>
      <c r="N33" s="141"/>
      <c r="O33" s="141"/>
      <c r="P33" s="141"/>
      <c r="Q33" s="141"/>
      <c r="R33" s="127"/>
    </row>
    <row r="34" ht="22.5" customHeight="1">
      <c r="A34" s="127"/>
      <c r="B34" s="152" t="s">
        <v>142</v>
      </c>
      <c r="C34" s="136">
        <v>1600.0</v>
      </c>
      <c r="D34" s="143">
        <v>500.0</v>
      </c>
      <c r="E34" s="143">
        <v>500.0</v>
      </c>
      <c r="F34" s="143"/>
      <c r="G34" s="143"/>
      <c r="H34" s="145"/>
      <c r="I34" s="145"/>
      <c r="J34" s="146"/>
      <c r="K34" s="122"/>
      <c r="L34" s="131"/>
      <c r="M34" s="134"/>
      <c r="N34" s="141"/>
      <c r="O34" s="141"/>
      <c r="P34" s="141"/>
      <c r="Q34" s="141"/>
      <c r="R34" s="127"/>
    </row>
    <row r="35" ht="22.5" customHeight="1">
      <c r="A35" s="127"/>
      <c r="B35" s="152" t="s">
        <v>143</v>
      </c>
      <c r="C35" s="136">
        <v>1600.0</v>
      </c>
      <c r="D35" s="143">
        <v>500.0</v>
      </c>
      <c r="E35" s="143">
        <v>500.0</v>
      </c>
      <c r="F35" s="143"/>
      <c r="G35" s="143"/>
      <c r="H35" s="145"/>
      <c r="I35" s="145"/>
      <c r="J35" s="146"/>
      <c r="K35" s="122"/>
      <c r="L35" s="131"/>
      <c r="M35" s="134"/>
      <c r="N35" s="141"/>
      <c r="O35" s="141"/>
      <c r="P35" s="141"/>
      <c r="Q35" s="141"/>
      <c r="R35" s="127"/>
    </row>
    <row r="36" ht="22.5" customHeight="1">
      <c r="A36" s="127"/>
      <c r="B36" s="152" t="s">
        <v>144</v>
      </c>
      <c r="C36" s="136">
        <v>1600.0</v>
      </c>
      <c r="D36" s="143">
        <v>500.0</v>
      </c>
      <c r="E36" s="143">
        <v>500.0</v>
      </c>
      <c r="F36" s="143"/>
      <c r="G36" s="143"/>
      <c r="H36" s="145"/>
      <c r="I36" s="145"/>
      <c r="J36" s="146"/>
      <c r="K36" s="122"/>
      <c r="L36" s="131"/>
      <c r="M36" s="134"/>
      <c r="N36" s="141"/>
      <c r="O36" s="141"/>
      <c r="P36" s="141"/>
      <c r="Q36" s="141"/>
      <c r="R36" s="127"/>
    </row>
    <row r="37" ht="22.5" customHeight="1">
      <c r="A37" s="127"/>
      <c r="B37" s="152" t="s">
        <v>145</v>
      </c>
      <c r="C37" s="136">
        <v>1600.0</v>
      </c>
      <c r="D37" s="143">
        <v>500.0</v>
      </c>
      <c r="E37" s="143">
        <v>500.0</v>
      </c>
      <c r="F37" s="143"/>
      <c r="G37" s="143"/>
      <c r="H37" s="145"/>
      <c r="I37" s="145"/>
      <c r="J37" s="146"/>
      <c r="K37" s="122"/>
      <c r="L37" s="131"/>
      <c r="M37" s="134"/>
      <c r="N37" s="141"/>
      <c r="O37" s="141"/>
      <c r="P37" s="141"/>
      <c r="Q37" s="141"/>
      <c r="R37" s="127"/>
    </row>
    <row r="38" ht="22.5" customHeight="1">
      <c r="A38" s="127"/>
      <c r="B38" s="144"/>
      <c r="C38" s="141"/>
      <c r="D38" s="141"/>
      <c r="E38" s="141"/>
      <c r="F38" s="141"/>
      <c r="G38" s="145"/>
      <c r="H38" s="145"/>
      <c r="I38" s="145"/>
      <c r="J38" s="146"/>
      <c r="K38" s="122"/>
      <c r="L38" s="131"/>
      <c r="M38" s="134"/>
      <c r="N38" s="141"/>
      <c r="O38" s="141"/>
      <c r="P38" s="141"/>
      <c r="Q38" s="141"/>
      <c r="R38" s="127"/>
    </row>
    <row r="39" ht="22.5" customHeight="1">
      <c r="A39" s="161"/>
      <c r="B39" s="162" t="s">
        <v>146</v>
      </c>
      <c r="C39" s="77" t="s">
        <v>147</v>
      </c>
      <c r="D39" s="77" t="s">
        <v>148</v>
      </c>
      <c r="E39" s="77" t="s">
        <v>149</v>
      </c>
      <c r="F39" s="77" t="s">
        <v>150</v>
      </c>
      <c r="G39" s="84"/>
      <c r="H39" s="84"/>
      <c r="I39" s="84"/>
      <c r="J39" s="147" t="s">
        <v>88</v>
      </c>
      <c r="K39" s="122">
        <f>(Schedule!K2*sum(N40:N43))+Schedule!L2*sum(E40:E43)</f>
        <v>0</v>
      </c>
      <c r="L39" s="131"/>
      <c r="M39" s="134"/>
      <c r="N39" s="136" t="s">
        <v>90</v>
      </c>
      <c r="O39" s="136"/>
      <c r="P39" s="141"/>
      <c r="Q39" s="141"/>
      <c r="R39" s="161"/>
    </row>
    <row r="40" ht="22.5" customHeight="1">
      <c r="A40" s="161"/>
      <c r="B40" s="163" t="s">
        <v>142</v>
      </c>
      <c r="C40" s="136" t="b">
        <v>1</v>
      </c>
      <c r="D40" s="143">
        <v>2000.0</v>
      </c>
      <c r="E40" s="153">
        <f>IFERROR(VLOOKUP(D40,Leaderboards!A34:C45,2,0),0)*C40</f>
        <v>780</v>
      </c>
      <c r="F40" s="153">
        <f t="shared" ref="F40:F43" si="2">N40</f>
        <v>3920</v>
      </c>
      <c r="G40" s="164"/>
      <c r="H40" s="164"/>
      <c r="I40" s="164"/>
      <c r="J40" s="165"/>
      <c r="K40" s="166"/>
      <c r="L40" s="131"/>
      <c r="M40" s="134"/>
      <c r="N40" s="136">
        <f t="shared" ref="N40:N43" si="3">IF(C40,3920,0)</f>
        <v>3920</v>
      </c>
      <c r="O40" s="136"/>
      <c r="P40" s="167"/>
      <c r="Q40" s="167"/>
      <c r="R40" s="161"/>
    </row>
    <row r="41" ht="22.5" customHeight="1">
      <c r="A41" s="161"/>
      <c r="B41" s="163" t="s">
        <v>143</v>
      </c>
      <c r="C41" s="136" t="b">
        <v>1</v>
      </c>
      <c r="D41" s="143">
        <v>2000.0</v>
      </c>
      <c r="E41" s="153">
        <f>IFERROR(VLOOKUP($D$41,Leaderboards!A48:C58,2,0),0)*C41</f>
        <v>1040</v>
      </c>
      <c r="F41" s="153">
        <f t="shared" si="2"/>
        <v>3920</v>
      </c>
      <c r="G41" s="164"/>
      <c r="H41" s="164"/>
      <c r="I41" s="164"/>
      <c r="J41" s="165"/>
      <c r="K41" s="166"/>
      <c r="L41" s="131"/>
      <c r="M41" s="134"/>
      <c r="N41" s="136">
        <f t="shared" si="3"/>
        <v>3920</v>
      </c>
      <c r="O41" s="136"/>
      <c r="P41" s="167"/>
      <c r="Q41" s="167"/>
      <c r="R41" s="161"/>
    </row>
    <row r="42" ht="22.5" customHeight="1">
      <c r="A42" s="161"/>
      <c r="B42" s="163" t="s">
        <v>144</v>
      </c>
      <c r="C42" s="136" t="b">
        <v>1</v>
      </c>
      <c r="D42" s="143">
        <v>250.0</v>
      </c>
      <c r="E42" s="153">
        <f>IFERROR(VLOOKUP(D42,Leaderboards!A61:C71,2,0),0)*C42</f>
        <v>4000</v>
      </c>
      <c r="F42" s="153">
        <f t="shared" si="2"/>
        <v>3920</v>
      </c>
      <c r="G42" s="164"/>
      <c r="H42" s="164"/>
      <c r="I42" s="164"/>
      <c r="J42" s="165"/>
      <c r="K42" s="166"/>
      <c r="L42" s="131"/>
      <c r="M42" s="134"/>
      <c r="N42" s="136">
        <f t="shared" si="3"/>
        <v>3920</v>
      </c>
      <c r="O42" s="136"/>
      <c r="P42" s="167"/>
      <c r="Q42" s="167"/>
      <c r="R42" s="161"/>
    </row>
    <row r="43" ht="22.5" customHeight="1">
      <c r="A43" s="161"/>
      <c r="B43" s="163" t="s">
        <v>145</v>
      </c>
      <c r="C43" s="136" t="b">
        <v>1</v>
      </c>
      <c r="D43" s="143">
        <v>100.0</v>
      </c>
      <c r="E43" s="153">
        <f>IFERROR(VLOOKUP(D43,Leaderboards!A74:C84,2,0),0)*C43</f>
        <v>6000</v>
      </c>
      <c r="F43" s="153">
        <f t="shared" si="2"/>
        <v>3920</v>
      </c>
      <c r="G43" s="164"/>
      <c r="H43" s="164"/>
      <c r="I43" s="164"/>
      <c r="J43" s="165"/>
      <c r="K43" s="166"/>
      <c r="L43" s="131"/>
      <c r="M43" s="134"/>
      <c r="N43" s="136">
        <f t="shared" si="3"/>
        <v>3920</v>
      </c>
      <c r="O43" s="136"/>
      <c r="P43" s="167"/>
      <c r="Q43" s="167"/>
      <c r="R43" s="161"/>
    </row>
    <row r="44" ht="22.5" customHeight="1">
      <c r="A44" s="127"/>
      <c r="B44" s="144"/>
      <c r="C44" s="141"/>
      <c r="D44" s="141"/>
      <c r="E44" s="141"/>
      <c r="F44" s="141"/>
      <c r="G44" s="145"/>
      <c r="H44" s="145"/>
      <c r="I44" s="145"/>
      <c r="J44" s="146"/>
      <c r="K44" s="122"/>
      <c r="L44" s="131"/>
      <c r="M44" s="134"/>
      <c r="N44" s="141"/>
      <c r="O44" s="141"/>
      <c r="P44" s="141"/>
      <c r="Q44" s="141"/>
      <c r="R44" s="127"/>
    </row>
    <row r="45" ht="22.5" customHeight="1">
      <c r="A45" s="127"/>
      <c r="B45" s="74" t="s">
        <v>151</v>
      </c>
      <c r="C45" s="160" t="s">
        <v>147</v>
      </c>
      <c r="D45" s="77" t="s">
        <v>90</v>
      </c>
      <c r="E45" s="155"/>
      <c r="F45" s="74" t="s">
        <v>152</v>
      </c>
      <c r="G45" s="160" t="s">
        <v>147</v>
      </c>
      <c r="H45" s="77" t="s">
        <v>90</v>
      </c>
      <c r="I45" s="77"/>
      <c r="J45" s="147" t="s">
        <v>88</v>
      </c>
      <c r="K45" s="122">
        <f>sum(D46:D49)*Schedule!G2+sum(H46:H49)*Schedule!I2</f>
        <v>0</v>
      </c>
      <c r="L45" s="131"/>
      <c r="M45" s="134"/>
      <c r="N45" s="141"/>
      <c r="O45" s="141"/>
      <c r="P45" s="141"/>
      <c r="Q45" s="141"/>
      <c r="R45" s="127"/>
    </row>
    <row r="46" ht="22.5" customHeight="1">
      <c r="A46" s="127"/>
      <c r="B46" s="152">
        <v>1500.0</v>
      </c>
      <c r="C46" s="136" t="b">
        <v>1</v>
      </c>
      <c r="D46" s="153">
        <f t="shared" ref="D46:D49" si="4">N46*C46</f>
        <v>3500</v>
      </c>
      <c r="E46" s="141"/>
      <c r="F46" s="152">
        <v>1500.0</v>
      </c>
      <c r="G46" s="136" t="b">
        <v>1</v>
      </c>
      <c r="H46" s="153">
        <f t="shared" ref="H46:H49" si="5">N46*G46</f>
        <v>3500</v>
      </c>
      <c r="I46" s="159"/>
      <c r="J46" s="146"/>
      <c r="K46" s="122"/>
      <c r="L46" s="131"/>
      <c r="M46" s="134"/>
      <c r="N46" s="136">
        <v>3500.0</v>
      </c>
      <c r="O46" s="141"/>
      <c r="P46" s="141"/>
      <c r="Q46" s="141"/>
      <c r="R46" s="127"/>
    </row>
    <row r="47" ht="22.5" customHeight="1">
      <c r="A47" s="127"/>
      <c r="B47" s="152">
        <v>750.0</v>
      </c>
      <c r="C47" s="136" t="b">
        <v>1</v>
      </c>
      <c r="D47" s="153">
        <f t="shared" si="4"/>
        <v>2500</v>
      </c>
      <c r="E47" s="141"/>
      <c r="F47" s="152">
        <v>750.0</v>
      </c>
      <c r="G47" s="136" t="b">
        <v>1</v>
      </c>
      <c r="H47" s="153">
        <f t="shared" si="5"/>
        <v>2500</v>
      </c>
      <c r="I47" s="159"/>
      <c r="J47" s="146"/>
      <c r="K47" s="122"/>
      <c r="L47" s="131"/>
      <c r="M47" s="134"/>
      <c r="N47" s="136">
        <v>2500.0</v>
      </c>
      <c r="O47" s="141"/>
      <c r="P47" s="141"/>
      <c r="Q47" s="141"/>
      <c r="R47" s="127"/>
    </row>
    <row r="48" ht="22.5" customHeight="1">
      <c r="A48" s="127"/>
      <c r="B48" s="152">
        <v>500.0</v>
      </c>
      <c r="C48" s="136" t="b">
        <v>1</v>
      </c>
      <c r="D48" s="153">
        <f t="shared" si="4"/>
        <v>2000</v>
      </c>
      <c r="E48" s="141"/>
      <c r="F48" s="152">
        <v>500.0</v>
      </c>
      <c r="G48" s="136" t="b">
        <v>1</v>
      </c>
      <c r="H48" s="153">
        <f t="shared" si="5"/>
        <v>2000</v>
      </c>
      <c r="I48" s="159"/>
      <c r="J48" s="146"/>
      <c r="K48" s="122"/>
      <c r="L48" s="131"/>
      <c r="M48" s="134"/>
      <c r="N48" s="136">
        <v>2000.0</v>
      </c>
      <c r="O48" s="141"/>
      <c r="P48" s="141"/>
      <c r="Q48" s="141"/>
      <c r="R48" s="127"/>
    </row>
    <row r="49" ht="22.5" customHeight="1">
      <c r="A49" s="127"/>
      <c r="B49" s="152">
        <v>350.0</v>
      </c>
      <c r="C49" s="136" t="b">
        <v>1</v>
      </c>
      <c r="D49" s="153">
        <f t="shared" si="4"/>
        <v>1500</v>
      </c>
      <c r="E49" s="141"/>
      <c r="F49" s="152">
        <v>350.0</v>
      </c>
      <c r="G49" s="136" t="b">
        <v>1</v>
      </c>
      <c r="H49" s="153">
        <f t="shared" si="5"/>
        <v>1500</v>
      </c>
      <c r="I49" s="159"/>
      <c r="J49" s="146"/>
      <c r="K49" s="122"/>
      <c r="L49" s="131"/>
      <c r="M49" s="134"/>
      <c r="N49" s="136">
        <v>1500.0</v>
      </c>
      <c r="O49" s="141"/>
      <c r="P49" s="141"/>
      <c r="Q49" s="141"/>
      <c r="R49" s="127"/>
    </row>
    <row r="50" ht="22.5" customHeight="1">
      <c r="A50" s="127"/>
      <c r="B50" s="144"/>
      <c r="C50" s="141"/>
      <c r="D50" s="141"/>
      <c r="E50" s="141"/>
      <c r="F50" s="141"/>
      <c r="G50" s="145"/>
      <c r="H50" s="145"/>
      <c r="I50" s="145"/>
      <c r="J50" s="146"/>
      <c r="K50" s="122"/>
      <c r="L50" s="131"/>
      <c r="M50" s="134"/>
      <c r="N50" s="141"/>
      <c r="O50" s="141"/>
      <c r="P50" s="141"/>
      <c r="Q50" s="141"/>
      <c r="R50" s="127"/>
    </row>
    <row r="51" ht="22.5" hidden="1" customHeight="1">
      <c r="A51" s="127"/>
      <c r="B51" s="74" t="s">
        <v>153</v>
      </c>
      <c r="C51" s="160" t="s">
        <v>148</v>
      </c>
      <c r="D51" s="77" t="s">
        <v>90</v>
      </c>
      <c r="E51" s="155"/>
      <c r="F51" s="155"/>
      <c r="G51" s="77"/>
      <c r="H51" s="77" t="s">
        <v>154</v>
      </c>
      <c r="J51" s="146"/>
      <c r="K51" s="122"/>
      <c r="L51" s="131"/>
      <c r="M51" s="134"/>
      <c r="N51" s="141"/>
      <c r="O51" s="141"/>
      <c r="P51" s="141"/>
      <c r="Q51" s="141"/>
      <c r="R51" s="127"/>
    </row>
    <row r="52" ht="22.5" hidden="1" customHeight="1">
      <c r="A52" s="127"/>
      <c r="B52" s="152" t="s">
        <v>155</v>
      </c>
      <c r="C52" s="168"/>
      <c r="D52" s="153">
        <f>iferror(vlookup($C$52,Leaderboards!$J$19:$L$29,2,0),0)</f>
        <v>0</v>
      </c>
      <c r="E52" s="141"/>
      <c r="F52" s="141"/>
      <c r="G52" s="159"/>
      <c r="H52" s="169">
        <v>3750.0</v>
      </c>
      <c r="I52" s="170" t="s">
        <v>90</v>
      </c>
      <c r="J52" s="147" t="s">
        <v>88</v>
      </c>
      <c r="K52" s="122">
        <f>sum(Leaderboards!$K$3:$K$17,D52)*N52</f>
        <v>0</v>
      </c>
      <c r="L52" s="131"/>
      <c r="M52" s="134"/>
      <c r="N52" s="141">
        <f t="shared" ref="N52:N53" si="6">if(ISBLANK(C52)=False,1,0)</f>
        <v>0</v>
      </c>
      <c r="O52" s="141"/>
      <c r="P52" s="141"/>
      <c r="Q52" s="141"/>
      <c r="R52" s="127"/>
    </row>
    <row r="53" ht="22.5" hidden="1" customHeight="1">
      <c r="A53" s="127"/>
      <c r="B53" s="152" t="s">
        <v>156</v>
      </c>
      <c r="C53" s="168"/>
      <c r="D53" s="153">
        <f>iferror(vlookup($C$53,Leaderboards!$J$19:$L$29,2,0),0)</f>
        <v>0</v>
      </c>
      <c r="E53" s="141"/>
      <c r="F53" s="141"/>
      <c r="G53" s="159"/>
      <c r="H53" s="141"/>
      <c r="I53" s="159"/>
      <c r="J53" s="147" t="s">
        <v>88</v>
      </c>
      <c r="K53" s="122">
        <f>sum(Leaderboards!$K$3:$K$17,D53)*N53</f>
        <v>0</v>
      </c>
      <c r="L53" s="131"/>
      <c r="M53" s="134"/>
      <c r="N53" s="141">
        <f t="shared" si="6"/>
        <v>0</v>
      </c>
      <c r="O53" s="141"/>
      <c r="P53" s="141"/>
      <c r="Q53" s="141"/>
      <c r="R53" s="127"/>
    </row>
    <row r="54" ht="22.5" hidden="1" customHeight="1">
      <c r="A54" s="127"/>
      <c r="B54" s="144"/>
      <c r="C54" s="141"/>
      <c r="D54" s="141"/>
      <c r="E54" s="141"/>
      <c r="F54" s="141"/>
      <c r="G54" s="145"/>
      <c r="H54" s="145"/>
      <c r="I54" s="145"/>
      <c r="J54" s="146"/>
      <c r="K54" s="122"/>
      <c r="L54" s="131"/>
      <c r="M54" s="134"/>
      <c r="N54" s="141"/>
      <c r="O54" s="141"/>
      <c r="P54" s="141"/>
      <c r="Q54" s="141"/>
      <c r="R54" s="127"/>
    </row>
    <row r="55" ht="22.5" customHeight="1">
      <c r="A55" s="127"/>
      <c r="B55" s="74" t="s">
        <v>157</v>
      </c>
      <c r="C55" s="77" t="s">
        <v>158</v>
      </c>
      <c r="D55" s="143" t="s">
        <v>159</v>
      </c>
      <c r="F55" s="77" t="s">
        <v>160</v>
      </c>
      <c r="G55" s="129">
        <v>5.0</v>
      </c>
      <c r="H55" s="84"/>
      <c r="I55" s="84"/>
      <c r="J55" s="147" t="s">
        <v>88</v>
      </c>
      <c r="K55" s="122">
        <f>(G55*C56)+((E3-G55)*C57)+(C58*P2)</f>
        <v>-81170</v>
      </c>
      <c r="L55" s="131"/>
      <c r="M55" s="134"/>
      <c r="N55" s="141"/>
      <c r="O55" s="141"/>
      <c r="P55" s="141"/>
      <c r="Q55" s="141"/>
      <c r="R55" s="127"/>
    </row>
    <row r="56" ht="22.5" customHeight="1">
      <c r="A56" s="127"/>
      <c r="B56" s="152" t="s">
        <v>161</v>
      </c>
      <c r="C56" s="153">
        <f>VLOOKUP(D55,Leaderboards!E3:H42,3,0)</f>
        <v>630</v>
      </c>
      <c r="D56" s="141"/>
      <c r="E56" s="141"/>
      <c r="F56" s="141"/>
      <c r="G56" s="145"/>
      <c r="H56" s="145"/>
      <c r="I56" s="145"/>
      <c r="J56" s="146"/>
      <c r="K56" s="122"/>
      <c r="L56" s="131"/>
      <c r="M56" s="134"/>
      <c r="N56" s="141"/>
      <c r="O56" s="141"/>
      <c r="P56" s="141"/>
      <c r="Q56" s="141"/>
      <c r="R56" s="127"/>
    </row>
    <row r="57" ht="22.5" customHeight="1">
      <c r="A57" s="127"/>
      <c r="B57" s="152" t="s">
        <v>162</v>
      </c>
      <c r="C57" s="153">
        <f>VLOOKUP(D55,Leaderboards!E3:H42,4,0)</f>
        <v>310</v>
      </c>
      <c r="D57" s="141"/>
      <c r="E57" s="141"/>
      <c r="F57" s="141"/>
      <c r="G57" s="145"/>
      <c r="H57" s="145"/>
      <c r="I57" s="145"/>
      <c r="J57" s="146"/>
      <c r="K57" s="122"/>
      <c r="L57" s="131"/>
      <c r="M57" s="134"/>
      <c r="N57" s="141"/>
      <c r="O57" s="141"/>
      <c r="P57" s="141"/>
      <c r="Q57" s="141"/>
      <c r="R57" s="127"/>
    </row>
    <row r="58" ht="22.5" customHeight="1">
      <c r="A58" s="127"/>
      <c r="B58" s="152" t="s">
        <v>163</v>
      </c>
      <c r="C58" s="153">
        <f>VLOOKUP(D55,Leaderboards!E3:H42,2,0)</f>
        <v>25200</v>
      </c>
      <c r="D58" s="141"/>
      <c r="E58" s="141"/>
      <c r="F58" s="141"/>
      <c r="G58" s="145"/>
      <c r="H58" s="145"/>
      <c r="I58" s="145"/>
      <c r="J58" s="146"/>
      <c r="K58" s="122"/>
      <c r="L58" s="131"/>
      <c r="M58" s="134"/>
      <c r="N58" s="141"/>
      <c r="O58" s="141"/>
      <c r="P58" s="141"/>
      <c r="Q58" s="141"/>
      <c r="R58" s="127"/>
    </row>
    <row r="59" ht="22.5" customHeight="1">
      <c r="A59" s="127"/>
      <c r="B59" s="152"/>
      <c r="C59" s="136"/>
      <c r="D59" s="141"/>
      <c r="E59" s="141"/>
      <c r="F59" s="141"/>
      <c r="G59" s="145"/>
      <c r="H59" s="145"/>
      <c r="I59" s="145"/>
      <c r="J59" s="146"/>
      <c r="K59" s="122"/>
      <c r="L59" s="131"/>
      <c r="M59" s="134"/>
      <c r="N59" s="141"/>
      <c r="O59" s="141"/>
      <c r="P59" s="141"/>
      <c r="Q59" s="141"/>
      <c r="R59" s="127"/>
    </row>
    <row r="60" ht="22.5" customHeight="1">
      <c r="A60" s="127"/>
      <c r="B60" s="74" t="s">
        <v>164</v>
      </c>
      <c r="C60" s="77" t="s">
        <v>90</v>
      </c>
      <c r="D60" s="77"/>
      <c r="E60" s="77"/>
      <c r="F60" s="155"/>
      <c r="G60" s="84"/>
      <c r="H60" s="84"/>
      <c r="I60" s="84"/>
      <c r="J60" s="146"/>
      <c r="K60" s="122"/>
      <c r="L60" s="131"/>
      <c r="M60" s="134"/>
      <c r="N60" s="141"/>
      <c r="O60" s="141"/>
      <c r="P60" s="141"/>
      <c r="Q60" s="141"/>
      <c r="R60" s="127"/>
    </row>
    <row r="61" ht="22.5" customHeight="1">
      <c r="A61" s="127"/>
      <c r="B61" s="152" t="s">
        <v>118</v>
      </c>
      <c r="C61" s="143">
        <v>0.0</v>
      </c>
      <c r="D61" s="136"/>
      <c r="E61" s="141"/>
      <c r="F61" s="141"/>
      <c r="G61" s="145"/>
      <c r="H61" s="145"/>
      <c r="I61" s="145"/>
      <c r="J61" s="147" t="s">
        <v>88</v>
      </c>
      <c r="K61" s="122">
        <f>C61*(E3-3)</f>
        <v>0</v>
      </c>
      <c r="L61" s="131"/>
      <c r="M61" s="134"/>
      <c r="N61" s="141"/>
      <c r="O61" s="141"/>
      <c r="P61" s="141"/>
      <c r="Q61" s="141"/>
      <c r="R61" s="127"/>
    </row>
    <row r="62" ht="22.5" customHeight="1">
      <c r="A62" s="127"/>
      <c r="B62" s="152"/>
      <c r="C62" s="136"/>
      <c r="D62" s="141"/>
      <c r="E62" s="141"/>
      <c r="F62" s="141"/>
      <c r="G62" s="145"/>
      <c r="H62" s="145"/>
      <c r="I62" s="145"/>
      <c r="J62" s="146"/>
      <c r="K62" s="122"/>
      <c r="L62" s="131"/>
      <c r="M62" s="134"/>
      <c r="N62" s="141"/>
      <c r="O62" s="141"/>
      <c r="P62" s="141"/>
      <c r="Q62" s="141"/>
      <c r="R62" s="127"/>
    </row>
    <row r="63" ht="22.5" customHeight="1">
      <c r="A63" s="127"/>
      <c r="B63" s="81" t="s">
        <v>165</v>
      </c>
      <c r="F63" s="81" t="s">
        <v>166</v>
      </c>
      <c r="J63" s="147"/>
      <c r="K63" s="122"/>
      <c r="L63" s="131"/>
      <c r="M63" s="134"/>
      <c r="N63" s="141"/>
      <c r="O63" s="141"/>
      <c r="P63" s="141"/>
      <c r="Q63" s="141"/>
      <c r="R63" s="127"/>
    </row>
    <row r="64" ht="22.5" customHeight="1">
      <c r="A64" s="127"/>
      <c r="B64" s="74" t="s">
        <v>167</v>
      </c>
      <c r="C64" s="77" t="s">
        <v>90</v>
      </c>
      <c r="D64" s="77" t="s">
        <v>168</v>
      </c>
      <c r="E64" s="77"/>
      <c r="F64" s="74" t="s">
        <v>169</v>
      </c>
      <c r="G64" s="77" t="s">
        <v>170</v>
      </c>
      <c r="H64" s="77" t="s">
        <v>90</v>
      </c>
      <c r="I64" s="77" t="s">
        <v>171</v>
      </c>
      <c r="J64" s="147" t="s">
        <v>88</v>
      </c>
      <c r="K64" s="122">
        <f>sum(N65:N67)</f>
        <v>0</v>
      </c>
      <c r="L64" s="131"/>
      <c r="M64" s="134"/>
      <c r="N64" s="141"/>
      <c r="O64" s="141"/>
      <c r="P64" s="141"/>
      <c r="Q64" s="141"/>
      <c r="R64" s="127"/>
    </row>
    <row r="65" ht="22.5" customHeight="1">
      <c r="A65" s="127"/>
      <c r="B65" s="152">
        <v>2310.0</v>
      </c>
      <c r="C65" s="136">
        <v>7000.0</v>
      </c>
      <c r="D65" s="143"/>
      <c r="F65" s="171" t="s">
        <v>172</v>
      </c>
      <c r="G65" s="172">
        <v>2.99</v>
      </c>
      <c r="H65" s="136">
        <v>7800.0</v>
      </c>
      <c r="I65" s="136" t="b">
        <v>0</v>
      </c>
      <c r="J65" s="146"/>
      <c r="K65" s="122">
        <f t="shared" ref="K65:K81" si="7">H65*I65</f>
        <v>0</v>
      </c>
      <c r="L65" s="131">
        <f t="shared" ref="L65:L81" si="8">G65*I65</f>
        <v>0</v>
      </c>
      <c r="M65" s="134"/>
      <c r="N65" s="141">
        <f t="shared" ref="N65:N67" si="9">C65*D65</f>
        <v>0</v>
      </c>
      <c r="O65" s="141"/>
      <c r="P65" s="141"/>
      <c r="Q65" s="141"/>
      <c r="R65" s="127"/>
    </row>
    <row r="66" ht="22.5" customHeight="1">
      <c r="A66" s="127"/>
      <c r="B66" s="152">
        <v>1020.0</v>
      </c>
      <c r="C66" s="136">
        <v>3000.0</v>
      </c>
      <c r="D66" s="143"/>
      <c r="F66" s="171"/>
      <c r="G66" s="172"/>
      <c r="H66" s="136"/>
      <c r="I66" s="136" t="b">
        <v>0</v>
      </c>
      <c r="J66" s="146"/>
      <c r="K66" s="122">
        <f t="shared" si="7"/>
        <v>0</v>
      </c>
      <c r="L66" s="131">
        <f t="shared" si="8"/>
        <v>0</v>
      </c>
      <c r="M66" s="134"/>
      <c r="N66" s="141">
        <f t="shared" si="9"/>
        <v>0</v>
      </c>
      <c r="O66" s="141"/>
      <c r="P66" s="141"/>
      <c r="Q66" s="141"/>
      <c r="R66" s="127"/>
    </row>
    <row r="67" ht="22.5" customHeight="1">
      <c r="A67" s="127"/>
      <c r="B67" s="152">
        <v>525.0</v>
      </c>
      <c r="C67" s="136">
        <v>1500.0</v>
      </c>
      <c r="D67" s="143"/>
      <c r="F67" s="171"/>
      <c r="G67" s="172"/>
      <c r="H67" s="136"/>
      <c r="I67" s="136" t="b">
        <v>0</v>
      </c>
      <c r="J67" s="146"/>
      <c r="K67" s="122">
        <f t="shared" si="7"/>
        <v>0</v>
      </c>
      <c r="L67" s="131">
        <f t="shared" si="8"/>
        <v>0</v>
      </c>
      <c r="M67" s="134"/>
      <c r="N67" s="141">
        <f t="shared" si="9"/>
        <v>0</v>
      </c>
      <c r="O67" s="141"/>
      <c r="P67" s="141"/>
      <c r="Q67" s="141"/>
      <c r="R67" s="127"/>
    </row>
    <row r="68" ht="22.5" customHeight="1">
      <c r="A68" s="127"/>
      <c r="B68" s="152"/>
      <c r="C68" s="136"/>
      <c r="D68" s="141"/>
      <c r="E68" s="141"/>
      <c r="F68" s="171"/>
      <c r="G68" s="172"/>
      <c r="H68" s="136"/>
      <c r="I68" s="136" t="b">
        <v>0</v>
      </c>
      <c r="J68" s="146"/>
      <c r="K68" s="122">
        <f t="shared" si="7"/>
        <v>0</v>
      </c>
      <c r="L68" s="131">
        <f t="shared" si="8"/>
        <v>0</v>
      </c>
      <c r="M68" s="134"/>
      <c r="N68" s="141"/>
      <c r="O68" s="141"/>
      <c r="P68" s="141"/>
      <c r="Q68" s="141"/>
      <c r="R68" s="127"/>
    </row>
    <row r="69" ht="22.5" customHeight="1">
      <c r="A69" s="127"/>
      <c r="B69" s="74" t="s">
        <v>173</v>
      </c>
      <c r="C69" s="77" t="s">
        <v>90</v>
      </c>
      <c r="D69" s="77" t="s">
        <v>168</v>
      </c>
      <c r="E69" s="141"/>
      <c r="F69" s="171"/>
      <c r="G69" s="172"/>
      <c r="H69" s="136"/>
      <c r="I69" s="136" t="b">
        <v>0</v>
      </c>
      <c r="J69" s="146"/>
      <c r="K69" s="122">
        <f t="shared" si="7"/>
        <v>0</v>
      </c>
      <c r="L69" s="131">
        <f t="shared" si="8"/>
        <v>0</v>
      </c>
      <c r="M69" s="134"/>
      <c r="N69" s="141"/>
      <c r="O69" s="141"/>
      <c r="P69" s="141"/>
      <c r="Q69" s="141"/>
      <c r="R69" s="127"/>
    </row>
    <row r="70" ht="22.5" customHeight="1">
      <c r="A70" s="127"/>
      <c r="B70" s="152">
        <v>400.0</v>
      </c>
      <c r="C70" s="136">
        <v>2400.0</v>
      </c>
      <c r="D70" s="173"/>
      <c r="F70" s="171"/>
      <c r="G70" s="172"/>
      <c r="H70" s="136"/>
      <c r="I70" s="136" t="b">
        <v>0</v>
      </c>
      <c r="J70" s="146"/>
      <c r="K70" s="122">
        <f t="shared" si="7"/>
        <v>0</v>
      </c>
      <c r="L70" s="131">
        <f t="shared" si="8"/>
        <v>0</v>
      </c>
      <c r="M70" s="134">
        <f t="shared" ref="M70:M79" si="10">D70*B70</f>
        <v>0</v>
      </c>
      <c r="N70" s="141">
        <f t="shared" ref="N70:N79" si="11">C70*D70</f>
        <v>0</v>
      </c>
      <c r="O70" s="141"/>
      <c r="P70" s="141"/>
      <c r="Q70" s="141"/>
      <c r="R70" s="127"/>
    </row>
    <row r="71" ht="22.5" customHeight="1">
      <c r="A71" s="127"/>
      <c r="B71" s="152">
        <v>300.0</v>
      </c>
      <c r="C71" s="136">
        <v>1500.0</v>
      </c>
      <c r="D71" s="143"/>
      <c r="F71" s="171"/>
      <c r="G71" s="172"/>
      <c r="H71" s="136"/>
      <c r="I71" s="136" t="b">
        <v>0</v>
      </c>
      <c r="J71" s="146"/>
      <c r="K71" s="122">
        <f t="shared" si="7"/>
        <v>0</v>
      </c>
      <c r="L71" s="131">
        <f t="shared" si="8"/>
        <v>0</v>
      </c>
      <c r="M71" s="134">
        <f t="shared" si="10"/>
        <v>0</v>
      </c>
      <c r="N71" s="141">
        <f t="shared" si="11"/>
        <v>0</v>
      </c>
      <c r="O71" s="141"/>
      <c r="P71" s="141"/>
      <c r="Q71" s="141"/>
      <c r="R71" s="127"/>
    </row>
    <row r="72" ht="22.5" customHeight="1">
      <c r="A72" s="127"/>
      <c r="B72" s="152">
        <v>200.0</v>
      </c>
      <c r="C72" s="136">
        <v>900.0</v>
      </c>
      <c r="D72" s="143"/>
      <c r="F72" s="171"/>
      <c r="G72" s="172"/>
      <c r="H72" s="136"/>
      <c r="I72" s="136" t="b">
        <v>0</v>
      </c>
      <c r="J72" s="146"/>
      <c r="K72" s="122">
        <f t="shared" si="7"/>
        <v>0</v>
      </c>
      <c r="L72" s="131">
        <f t="shared" si="8"/>
        <v>0</v>
      </c>
      <c r="M72" s="134">
        <f t="shared" si="10"/>
        <v>0</v>
      </c>
      <c r="N72" s="141">
        <f t="shared" si="11"/>
        <v>0</v>
      </c>
      <c r="O72" s="141"/>
      <c r="P72" s="141"/>
      <c r="Q72" s="141"/>
      <c r="R72" s="127"/>
    </row>
    <row r="73" ht="22.5" customHeight="1">
      <c r="A73" s="127"/>
      <c r="B73" s="152">
        <v>100.0</v>
      </c>
      <c r="C73" s="136">
        <v>400.0</v>
      </c>
      <c r="D73" s="143"/>
      <c r="F73" s="171"/>
      <c r="G73" s="172"/>
      <c r="H73" s="136"/>
      <c r="I73" s="136" t="b">
        <v>0</v>
      </c>
      <c r="J73" s="146"/>
      <c r="K73" s="122">
        <f t="shared" si="7"/>
        <v>0</v>
      </c>
      <c r="L73" s="131">
        <f t="shared" si="8"/>
        <v>0</v>
      </c>
      <c r="M73" s="134">
        <f t="shared" si="10"/>
        <v>0</v>
      </c>
      <c r="N73" s="141">
        <f t="shared" si="11"/>
        <v>0</v>
      </c>
      <c r="O73" s="141"/>
      <c r="P73" s="141"/>
      <c r="Q73" s="141"/>
      <c r="R73" s="127"/>
    </row>
    <row r="74" ht="22.5" customHeight="1">
      <c r="A74" s="127"/>
      <c r="B74" s="152">
        <v>500.0</v>
      </c>
      <c r="C74" s="136">
        <v>1750.0</v>
      </c>
      <c r="D74" s="143"/>
      <c r="F74" s="171"/>
      <c r="G74" s="172"/>
      <c r="H74" s="136"/>
      <c r="I74" s="136" t="b">
        <v>0</v>
      </c>
      <c r="J74" s="146"/>
      <c r="K74" s="122">
        <f t="shared" si="7"/>
        <v>0</v>
      </c>
      <c r="L74" s="131">
        <f t="shared" si="8"/>
        <v>0</v>
      </c>
      <c r="M74" s="134">
        <f t="shared" si="10"/>
        <v>0</v>
      </c>
      <c r="N74" s="141">
        <f t="shared" si="11"/>
        <v>0</v>
      </c>
      <c r="O74" s="141"/>
      <c r="P74" s="141"/>
      <c r="Q74" s="141"/>
      <c r="R74" s="127"/>
    </row>
    <row r="75" ht="22.5" customHeight="1">
      <c r="A75" s="127"/>
      <c r="B75" s="152">
        <v>400.0</v>
      </c>
      <c r="C75" s="136">
        <v>1200.0</v>
      </c>
      <c r="D75" s="143"/>
      <c r="F75" s="171"/>
      <c r="G75" s="172"/>
      <c r="H75" s="136"/>
      <c r="I75" s="136" t="b">
        <v>0</v>
      </c>
      <c r="J75" s="146"/>
      <c r="K75" s="122">
        <f t="shared" si="7"/>
        <v>0</v>
      </c>
      <c r="L75" s="131">
        <f t="shared" si="8"/>
        <v>0</v>
      </c>
      <c r="M75" s="134">
        <f t="shared" si="10"/>
        <v>0</v>
      </c>
      <c r="N75" s="141">
        <f t="shared" si="11"/>
        <v>0</v>
      </c>
      <c r="O75" s="141"/>
      <c r="P75" s="141"/>
      <c r="Q75" s="141"/>
      <c r="R75" s="127"/>
    </row>
    <row r="76" ht="22.5" customHeight="1">
      <c r="A76" s="127"/>
      <c r="B76" s="152">
        <v>300.0</v>
      </c>
      <c r="C76" s="136">
        <v>750.0</v>
      </c>
      <c r="D76" s="143"/>
      <c r="F76" s="171"/>
      <c r="G76" s="172"/>
      <c r="H76" s="136"/>
      <c r="I76" s="136" t="b">
        <v>0</v>
      </c>
      <c r="J76" s="146"/>
      <c r="K76" s="122">
        <f t="shared" si="7"/>
        <v>0</v>
      </c>
      <c r="L76" s="131">
        <f t="shared" si="8"/>
        <v>0</v>
      </c>
      <c r="M76" s="134">
        <f t="shared" si="10"/>
        <v>0</v>
      </c>
      <c r="N76" s="141">
        <f t="shared" si="11"/>
        <v>0</v>
      </c>
      <c r="O76" s="141"/>
      <c r="P76" s="141"/>
      <c r="Q76" s="141"/>
      <c r="R76" s="127"/>
    </row>
    <row r="77" ht="22.5" customHeight="1">
      <c r="A77" s="127"/>
      <c r="B77" s="152">
        <v>200.0</v>
      </c>
      <c r="C77" s="136">
        <v>440.0</v>
      </c>
      <c r="D77" s="143"/>
      <c r="F77" s="171"/>
      <c r="G77" s="172"/>
      <c r="H77" s="136"/>
      <c r="I77" s="136" t="b">
        <v>0</v>
      </c>
      <c r="J77" s="146"/>
      <c r="K77" s="122">
        <f t="shared" si="7"/>
        <v>0</v>
      </c>
      <c r="L77" s="131">
        <f t="shared" si="8"/>
        <v>0</v>
      </c>
      <c r="M77" s="134">
        <f t="shared" si="10"/>
        <v>0</v>
      </c>
      <c r="N77" s="141">
        <f t="shared" si="11"/>
        <v>0</v>
      </c>
      <c r="O77" s="141"/>
      <c r="P77" s="141"/>
      <c r="Q77" s="141"/>
      <c r="R77" s="127"/>
    </row>
    <row r="78" ht="22.5" customHeight="1">
      <c r="A78" s="127"/>
      <c r="B78" s="152">
        <v>1000.0</v>
      </c>
      <c r="C78" s="136">
        <v>2000.0</v>
      </c>
      <c r="D78" s="143"/>
      <c r="F78" s="171"/>
      <c r="G78" s="172"/>
      <c r="H78" s="136"/>
      <c r="I78" s="136" t="b">
        <v>0</v>
      </c>
      <c r="J78" s="146"/>
      <c r="K78" s="122">
        <f t="shared" si="7"/>
        <v>0</v>
      </c>
      <c r="L78" s="131">
        <f t="shared" si="8"/>
        <v>0</v>
      </c>
      <c r="M78" s="134">
        <f t="shared" si="10"/>
        <v>0</v>
      </c>
      <c r="N78" s="141">
        <f t="shared" si="11"/>
        <v>0</v>
      </c>
      <c r="O78" s="141"/>
      <c r="P78" s="141"/>
      <c r="Q78" s="141"/>
      <c r="R78" s="127"/>
    </row>
    <row r="79" ht="22.5" customHeight="1">
      <c r="A79" s="127"/>
      <c r="B79" s="152">
        <v>100.0</v>
      </c>
      <c r="C79" s="136">
        <v>200.0</v>
      </c>
      <c r="D79" s="143"/>
      <c r="F79" s="171"/>
      <c r="G79" s="172"/>
      <c r="H79" s="136"/>
      <c r="I79" s="136" t="b">
        <v>0</v>
      </c>
      <c r="J79" s="146"/>
      <c r="K79" s="122">
        <f t="shared" si="7"/>
        <v>0</v>
      </c>
      <c r="L79" s="131">
        <f t="shared" si="8"/>
        <v>0</v>
      </c>
      <c r="M79" s="134">
        <f t="shared" si="10"/>
        <v>0</v>
      </c>
      <c r="N79" s="141">
        <f t="shared" si="11"/>
        <v>0</v>
      </c>
      <c r="O79" s="141"/>
      <c r="P79" s="141"/>
      <c r="Q79" s="141"/>
      <c r="R79" s="127"/>
    </row>
    <row r="80" ht="22.5" customHeight="1">
      <c r="A80" s="127"/>
      <c r="B80" s="152"/>
      <c r="C80" s="136"/>
      <c r="D80" s="141"/>
      <c r="E80" s="141"/>
      <c r="F80" s="171"/>
      <c r="G80" s="172"/>
      <c r="H80" s="136"/>
      <c r="I80" s="136" t="b">
        <v>0</v>
      </c>
      <c r="J80" s="146"/>
      <c r="K80" s="122">
        <f t="shared" si="7"/>
        <v>0</v>
      </c>
      <c r="L80" s="131">
        <f t="shared" si="8"/>
        <v>0</v>
      </c>
      <c r="M80" s="134"/>
      <c r="N80" s="141"/>
      <c r="O80" s="141"/>
      <c r="P80" s="141"/>
      <c r="Q80" s="141"/>
      <c r="R80" s="127"/>
    </row>
    <row r="81" ht="22.5" customHeight="1">
      <c r="A81" s="127"/>
      <c r="B81" s="152"/>
      <c r="C81" s="136"/>
      <c r="D81" s="141"/>
      <c r="E81" s="141"/>
      <c r="F81" s="171"/>
      <c r="G81" s="172"/>
      <c r="H81" s="136"/>
      <c r="I81" s="136" t="b">
        <v>0</v>
      </c>
      <c r="J81" s="147"/>
      <c r="K81" s="122">
        <f t="shared" si="7"/>
        <v>0</v>
      </c>
      <c r="L81" s="131">
        <f t="shared" si="8"/>
        <v>0</v>
      </c>
      <c r="M81" s="134"/>
      <c r="N81" s="141"/>
      <c r="O81" s="141"/>
      <c r="P81" s="141"/>
      <c r="Q81" s="141"/>
      <c r="R81" s="127"/>
    </row>
    <row r="82" ht="22.5" customHeight="1">
      <c r="A82" s="127"/>
      <c r="B82" s="152"/>
      <c r="C82" s="136"/>
      <c r="D82" s="141"/>
      <c r="E82" s="141"/>
      <c r="F82" s="144"/>
      <c r="G82" s="172"/>
      <c r="H82" s="141"/>
      <c r="I82" s="141"/>
      <c r="J82" s="147" t="s">
        <v>88</v>
      </c>
      <c r="K82" s="122">
        <f>sum(N70:N79)</f>
        <v>0</v>
      </c>
      <c r="L82" s="131"/>
      <c r="M82" s="134"/>
      <c r="N82" s="141"/>
      <c r="O82" s="141"/>
      <c r="P82" s="141"/>
      <c r="Q82" s="141"/>
      <c r="R82" s="127"/>
    </row>
    <row r="83" ht="22.5" customHeight="1">
      <c r="A83" s="127"/>
      <c r="B83" s="158" t="s">
        <v>174</v>
      </c>
      <c r="J83" s="147"/>
      <c r="K83" s="122"/>
      <c r="L83" s="131"/>
      <c r="M83" s="134"/>
      <c r="N83" s="141"/>
      <c r="O83" s="141"/>
      <c r="P83" s="141"/>
      <c r="Q83" s="141"/>
      <c r="R83" s="127"/>
    </row>
    <row r="84" ht="22.5" customHeight="1">
      <c r="A84" s="127"/>
      <c r="B84" s="74" t="s">
        <v>175</v>
      </c>
      <c r="C84" s="143"/>
      <c r="D84" s="77"/>
      <c r="E84" s="77"/>
      <c r="F84" s="155"/>
      <c r="G84" s="84"/>
      <c r="H84" s="84"/>
      <c r="I84" s="84"/>
      <c r="J84" s="147" t="s">
        <v>88</v>
      </c>
      <c r="K84" s="122" t="str">
        <f>C84</f>
        <v/>
      </c>
      <c r="L84" s="131"/>
      <c r="M84" s="134"/>
      <c r="N84" s="141"/>
      <c r="O84" s="141"/>
      <c r="P84" s="141"/>
      <c r="Q84" s="141"/>
      <c r="R84" s="127"/>
    </row>
    <row r="85" ht="22.5" customHeight="1">
      <c r="A85" s="127"/>
      <c r="B85" s="152"/>
      <c r="C85" s="136"/>
      <c r="D85" s="141"/>
      <c r="E85" s="141"/>
      <c r="F85" s="141"/>
      <c r="G85" s="145"/>
      <c r="H85" s="145"/>
      <c r="I85" s="145"/>
      <c r="J85" s="146"/>
      <c r="K85" s="122"/>
      <c r="L85" s="131"/>
      <c r="M85" s="134"/>
      <c r="N85" s="141"/>
      <c r="O85" s="141"/>
      <c r="P85" s="141"/>
      <c r="Q85" s="141"/>
      <c r="R85" s="127"/>
    </row>
    <row r="86" ht="22.5" customHeight="1">
      <c r="A86" s="127"/>
      <c r="B86" s="74" t="s">
        <v>176</v>
      </c>
      <c r="C86" s="77" t="s">
        <v>177</v>
      </c>
      <c r="D86" s="77" t="s">
        <v>168</v>
      </c>
      <c r="E86" s="84"/>
      <c r="F86" s="84"/>
      <c r="G86" s="84"/>
      <c r="H86" s="84"/>
      <c r="I86" s="84"/>
      <c r="J86" s="147" t="s">
        <v>88</v>
      </c>
      <c r="K86" s="122">
        <f>sum(N87:N88)</f>
        <v>0</v>
      </c>
      <c r="L86" s="131"/>
      <c r="M86" s="134"/>
      <c r="N86" s="141"/>
      <c r="O86" s="141"/>
      <c r="P86" s="141"/>
      <c r="Q86" s="141"/>
      <c r="R86" s="127"/>
    </row>
    <row r="87" ht="22.5" customHeight="1">
      <c r="A87" s="127"/>
      <c r="B87" s="152" t="s">
        <v>178</v>
      </c>
      <c r="C87" s="136">
        <v>5000.0</v>
      </c>
      <c r="D87" s="143"/>
      <c r="E87" s="145"/>
      <c r="F87" s="145"/>
      <c r="G87" s="145"/>
      <c r="H87" s="145"/>
      <c r="I87" s="145"/>
      <c r="J87" s="146"/>
      <c r="K87" s="122"/>
      <c r="L87" s="131"/>
      <c r="M87" s="134"/>
      <c r="N87" s="141">
        <f t="shared" ref="N87:N88" si="12">C87*D87</f>
        <v>0</v>
      </c>
      <c r="O87" s="141">
        <f t="shared" ref="O87:O88" si="13">E87*F87</f>
        <v>0</v>
      </c>
      <c r="P87" s="141"/>
      <c r="Q87" s="141"/>
      <c r="R87" s="127"/>
    </row>
    <row r="88" ht="22.5" customHeight="1">
      <c r="A88" s="127"/>
      <c r="B88" s="152" t="s">
        <v>179</v>
      </c>
      <c r="C88" s="136">
        <v>11500.0</v>
      </c>
      <c r="D88" s="143"/>
      <c r="E88" s="145"/>
      <c r="F88" s="145"/>
      <c r="G88" s="145"/>
      <c r="H88" s="145"/>
      <c r="I88" s="145"/>
      <c r="J88" s="146"/>
      <c r="K88" s="122"/>
      <c r="L88" s="131"/>
      <c r="M88" s="134"/>
      <c r="N88" s="141">
        <f t="shared" si="12"/>
        <v>0</v>
      </c>
      <c r="O88" s="141">
        <f t="shared" si="13"/>
        <v>0</v>
      </c>
      <c r="P88" s="141"/>
      <c r="Q88" s="141"/>
      <c r="R88" s="127"/>
    </row>
    <row r="89" ht="22.5" customHeight="1">
      <c r="A89" s="127"/>
      <c r="B89" s="152"/>
      <c r="C89" s="136"/>
      <c r="D89" s="141"/>
      <c r="E89" s="141"/>
      <c r="F89" s="141"/>
      <c r="G89" s="145"/>
      <c r="H89" s="145"/>
      <c r="I89" s="145"/>
      <c r="J89" s="146"/>
      <c r="K89" s="122"/>
      <c r="L89" s="131"/>
      <c r="M89" s="134"/>
      <c r="N89" s="141"/>
      <c r="O89" s="141"/>
      <c r="P89" s="141"/>
      <c r="Q89" s="141"/>
      <c r="R89" s="127"/>
    </row>
    <row r="90" ht="22.5" customHeight="1">
      <c r="A90" s="127"/>
      <c r="B90" s="74" t="s">
        <v>180</v>
      </c>
      <c r="C90" s="84" t="s">
        <v>88</v>
      </c>
      <c r="D90" s="143"/>
      <c r="E90" s="84"/>
      <c r="F90" s="84"/>
      <c r="G90" s="84"/>
      <c r="H90" s="84"/>
      <c r="I90" s="84"/>
      <c r="J90" s="147" t="s">
        <v>88</v>
      </c>
      <c r="K90" s="122">
        <f>D90*2</f>
        <v>0</v>
      </c>
      <c r="L90" s="131"/>
      <c r="M90" s="134"/>
      <c r="N90" s="141"/>
      <c r="O90" s="141"/>
      <c r="P90" s="141"/>
      <c r="Q90" s="141"/>
      <c r="R90" s="127"/>
    </row>
    <row r="91" ht="22.5" customHeight="1">
      <c r="A91" s="127"/>
      <c r="B91" s="152"/>
      <c r="C91" s="136"/>
      <c r="D91" s="141"/>
      <c r="E91" s="141"/>
      <c r="F91" s="141"/>
      <c r="G91" s="145"/>
      <c r="H91" s="145"/>
      <c r="I91" s="145"/>
      <c r="J91" s="146"/>
      <c r="K91" s="122"/>
      <c r="L91" s="131"/>
      <c r="M91" s="134"/>
      <c r="N91" s="141"/>
      <c r="O91" s="141"/>
      <c r="P91" s="141"/>
      <c r="Q91" s="141"/>
      <c r="R91" s="127"/>
    </row>
    <row r="92" ht="22.5" customHeight="1">
      <c r="A92" s="127"/>
      <c r="B92" s="74" t="s">
        <v>181</v>
      </c>
      <c r="C92" s="74" t="s">
        <v>182</v>
      </c>
      <c r="D92" s="77"/>
      <c r="E92" s="155"/>
      <c r="F92" s="155"/>
      <c r="G92" s="84"/>
      <c r="H92" s="84"/>
      <c r="I92" s="84"/>
      <c r="J92" s="147" t="s">
        <v>88</v>
      </c>
      <c r="K92" s="122">
        <f>SUM(C93:C104)*$E$3</f>
        <v>-133500</v>
      </c>
      <c r="L92" s="131"/>
      <c r="M92" s="134"/>
      <c r="N92" s="141"/>
      <c r="O92" s="141"/>
      <c r="P92" s="141"/>
      <c r="Q92" s="141"/>
      <c r="R92" s="127"/>
    </row>
    <row r="93" ht="22.5" hidden="1" customHeight="1">
      <c r="A93" s="127"/>
      <c r="B93" s="152" t="s">
        <v>183</v>
      </c>
      <c r="C93" s="136">
        <v>125.0</v>
      </c>
      <c r="D93" s="136"/>
      <c r="E93" s="141"/>
      <c r="F93" s="141"/>
      <c r="G93" s="145"/>
      <c r="H93" s="145"/>
      <c r="I93" s="145"/>
      <c r="J93" s="146"/>
      <c r="K93" s="122"/>
      <c r="L93" s="131"/>
      <c r="M93" s="134"/>
      <c r="N93" s="141"/>
      <c r="O93" s="141"/>
      <c r="P93" s="141"/>
      <c r="Q93" s="141"/>
      <c r="R93" s="127"/>
    </row>
    <row r="94" ht="22.5" hidden="1" customHeight="1">
      <c r="A94" s="127"/>
      <c r="B94" s="144"/>
      <c r="C94" s="136">
        <v>20.0</v>
      </c>
      <c r="D94" s="136"/>
      <c r="E94" s="141"/>
      <c r="F94" s="141"/>
      <c r="G94" s="145"/>
      <c r="H94" s="145"/>
      <c r="I94" s="145"/>
      <c r="J94" s="146"/>
      <c r="K94" s="122"/>
      <c r="L94" s="131"/>
      <c r="M94" s="134"/>
      <c r="N94" s="141"/>
      <c r="O94" s="141"/>
      <c r="P94" s="141"/>
      <c r="Q94" s="141"/>
      <c r="R94" s="127"/>
    </row>
    <row r="95" ht="22.5" hidden="1" customHeight="1">
      <c r="A95" s="127"/>
      <c r="B95" s="144"/>
      <c r="C95" s="136">
        <v>20.0</v>
      </c>
      <c r="D95" s="136"/>
      <c r="E95" s="141"/>
      <c r="F95" s="141"/>
      <c r="G95" s="145"/>
      <c r="H95" s="145"/>
      <c r="I95" s="145"/>
      <c r="J95" s="146"/>
      <c r="K95" s="122"/>
      <c r="L95" s="131"/>
      <c r="M95" s="134"/>
      <c r="N95" s="141"/>
      <c r="O95" s="141"/>
      <c r="P95" s="141"/>
      <c r="Q95" s="141"/>
      <c r="R95" s="127"/>
    </row>
    <row r="96" ht="22.5" hidden="1" customHeight="1">
      <c r="A96" s="127"/>
      <c r="B96" s="144"/>
      <c r="C96" s="136">
        <v>20.0</v>
      </c>
      <c r="D96" s="136"/>
      <c r="E96" s="141"/>
      <c r="F96" s="141"/>
      <c r="G96" s="145"/>
      <c r="H96" s="145"/>
      <c r="I96" s="145"/>
      <c r="J96" s="146"/>
      <c r="K96" s="122"/>
      <c r="L96" s="131"/>
      <c r="M96" s="134"/>
      <c r="N96" s="141"/>
      <c r="O96" s="141"/>
      <c r="P96" s="141"/>
      <c r="Q96" s="141"/>
      <c r="R96" s="127"/>
    </row>
    <row r="97" ht="22.5" hidden="1" customHeight="1">
      <c r="A97" s="127"/>
      <c r="B97" s="144"/>
      <c r="C97" s="136">
        <v>25.0</v>
      </c>
      <c r="D97" s="136"/>
      <c r="E97" s="141"/>
      <c r="F97" s="141"/>
      <c r="G97" s="145"/>
      <c r="H97" s="145"/>
      <c r="I97" s="145"/>
      <c r="J97" s="146"/>
      <c r="K97" s="122"/>
      <c r="L97" s="131"/>
      <c r="M97" s="134"/>
      <c r="N97" s="141"/>
      <c r="O97" s="141"/>
      <c r="P97" s="141"/>
      <c r="Q97" s="141"/>
      <c r="R97" s="127"/>
    </row>
    <row r="98" ht="22.5" hidden="1" customHeight="1">
      <c r="A98" s="127"/>
      <c r="B98" s="144"/>
      <c r="C98" s="136">
        <v>20.0</v>
      </c>
      <c r="D98" s="136"/>
      <c r="E98" s="141"/>
      <c r="F98" s="141"/>
      <c r="G98" s="145"/>
      <c r="H98" s="145"/>
      <c r="I98" s="145"/>
      <c r="J98" s="146"/>
      <c r="K98" s="122"/>
      <c r="L98" s="131"/>
      <c r="M98" s="134"/>
      <c r="N98" s="141"/>
      <c r="O98" s="141"/>
      <c r="P98" s="141"/>
      <c r="Q98" s="141"/>
      <c r="R98" s="127"/>
    </row>
    <row r="99" ht="22.5" hidden="1" customHeight="1">
      <c r="A99" s="127"/>
      <c r="B99" s="144"/>
      <c r="C99" s="136">
        <v>20.0</v>
      </c>
      <c r="D99" s="136"/>
      <c r="E99" s="141"/>
      <c r="F99" s="141"/>
      <c r="G99" s="145"/>
      <c r="H99" s="145"/>
      <c r="I99" s="145"/>
      <c r="J99" s="146"/>
      <c r="K99" s="122"/>
      <c r="L99" s="131"/>
      <c r="M99" s="134"/>
      <c r="N99" s="141"/>
      <c r="O99" s="141"/>
      <c r="P99" s="141"/>
      <c r="Q99" s="141"/>
      <c r="R99" s="127"/>
    </row>
    <row r="100" ht="22.5" hidden="1" customHeight="1">
      <c r="A100" s="127"/>
      <c r="B100" s="152" t="s">
        <v>184</v>
      </c>
      <c r="C100" s="136">
        <v>15.0</v>
      </c>
      <c r="D100" s="136"/>
      <c r="E100" s="141"/>
      <c r="F100" s="141"/>
      <c r="G100" s="145"/>
      <c r="H100" s="145"/>
      <c r="I100" s="145"/>
      <c r="J100" s="146"/>
      <c r="K100" s="122"/>
      <c r="L100" s="131"/>
      <c r="M100" s="134"/>
      <c r="N100" s="141"/>
      <c r="O100" s="141"/>
      <c r="P100" s="141"/>
      <c r="Q100" s="141"/>
      <c r="R100" s="127"/>
    </row>
    <row r="101" ht="22.5" hidden="1" customHeight="1">
      <c r="A101" s="127"/>
      <c r="B101" s="144"/>
      <c r="C101" s="136">
        <v>20.0</v>
      </c>
      <c r="D101" s="136"/>
      <c r="E101" s="141"/>
      <c r="F101" s="141"/>
      <c r="G101" s="145"/>
      <c r="H101" s="145"/>
      <c r="I101" s="145"/>
      <c r="J101" s="146"/>
      <c r="K101" s="122"/>
      <c r="L101" s="131"/>
      <c r="M101" s="134"/>
      <c r="N101" s="141"/>
      <c r="O101" s="141"/>
      <c r="P101" s="141"/>
      <c r="Q101" s="141"/>
      <c r="R101" s="127"/>
    </row>
    <row r="102" ht="22.5" hidden="1" customHeight="1">
      <c r="A102" s="127"/>
      <c r="B102" s="144"/>
      <c r="C102" s="136">
        <v>15.0</v>
      </c>
      <c r="D102" s="136"/>
      <c r="E102" s="141"/>
      <c r="F102" s="141"/>
      <c r="G102" s="145"/>
      <c r="H102" s="145"/>
      <c r="I102" s="145"/>
      <c r="J102" s="146"/>
      <c r="K102" s="122"/>
      <c r="L102" s="131"/>
      <c r="M102" s="134"/>
      <c r="N102" s="141"/>
      <c r="O102" s="141"/>
      <c r="P102" s="141"/>
      <c r="Q102" s="141"/>
      <c r="R102" s="127"/>
    </row>
    <row r="103" ht="22.5" hidden="1" customHeight="1">
      <c r="A103" s="127"/>
      <c r="B103" s="152" t="s">
        <v>185</v>
      </c>
      <c r="C103" s="136">
        <v>100.0</v>
      </c>
      <c r="D103" s="136"/>
      <c r="E103" s="141"/>
      <c r="F103" s="141"/>
      <c r="G103" s="145"/>
      <c r="H103" s="145"/>
      <c r="I103" s="145"/>
      <c r="J103" s="146"/>
      <c r="K103" s="122"/>
      <c r="L103" s="131"/>
      <c r="M103" s="134"/>
      <c r="N103" s="141"/>
      <c r="O103" s="141"/>
      <c r="P103" s="141"/>
      <c r="Q103" s="141"/>
      <c r="R103" s="127"/>
    </row>
    <row r="104" ht="22.5" hidden="1" customHeight="1">
      <c r="A104" s="127"/>
      <c r="B104" s="152" t="s">
        <v>186</v>
      </c>
      <c r="C104" s="136">
        <v>100.0</v>
      </c>
      <c r="D104" s="136"/>
      <c r="E104" s="141"/>
      <c r="F104" s="141"/>
      <c r="G104" s="145"/>
      <c r="H104" s="145"/>
      <c r="I104" s="145"/>
      <c r="J104" s="146"/>
      <c r="K104" s="122"/>
      <c r="L104" s="131"/>
      <c r="M104" s="134"/>
      <c r="N104" s="141"/>
      <c r="O104" s="141"/>
      <c r="P104" s="141"/>
      <c r="Q104" s="141"/>
      <c r="R104" s="127"/>
    </row>
    <row r="105" ht="22.5" customHeight="1">
      <c r="A105" s="127"/>
      <c r="B105" s="152"/>
      <c r="C105" s="136"/>
      <c r="D105" s="136"/>
      <c r="E105" s="141"/>
      <c r="F105" s="141"/>
      <c r="G105" s="145"/>
      <c r="H105" s="145"/>
      <c r="I105" s="145"/>
      <c r="J105" s="146"/>
      <c r="K105" s="122"/>
      <c r="L105" s="131"/>
      <c r="M105" s="134"/>
      <c r="N105" s="141"/>
      <c r="O105" s="141"/>
      <c r="P105" s="141"/>
      <c r="Q105" s="141"/>
      <c r="R105" s="127"/>
    </row>
    <row r="106" ht="22.5" customHeight="1">
      <c r="A106" s="127"/>
      <c r="B106" s="74" t="s">
        <v>187</v>
      </c>
      <c r="C106" s="74" t="s">
        <v>182</v>
      </c>
      <c r="D106" s="77"/>
      <c r="E106" s="155"/>
      <c r="F106" s="155"/>
      <c r="G106" s="84"/>
      <c r="H106" s="84"/>
      <c r="I106" s="84"/>
      <c r="J106" s="147" t="s">
        <v>88</v>
      </c>
      <c r="K106" s="122">
        <f>SUM(C107:C111)*$E$3+SUM(C112:C116)*P2</f>
        <v>-133500</v>
      </c>
      <c r="L106" s="131"/>
      <c r="M106" s="134"/>
      <c r="N106" s="141"/>
      <c r="O106" s="141"/>
      <c r="P106" s="141"/>
      <c r="Q106" s="141"/>
      <c r="R106" s="127"/>
    </row>
    <row r="107" ht="22.5" hidden="1" customHeight="1">
      <c r="A107" s="127"/>
      <c r="B107" s="152" t="s">
        <v>118</v>
      </c>
      <c r="C107" s="136">
        <v>100.0</v>
      </c>
      <c r="D107" s="141"/>
      <c r="E107" s="141"/>
      <c r="F107" s="141"/>
      <c r="G107" s="145"/>
      <c r="H107" s="145"/>
      <c r="I107" s="145"/>
      <c r="J107" s="146"/>
      <c r="K107" s="122"/>
      <c r="L107" s="131"/>
      <c r="M107" s="134"/>
      <c r="N107" s="141"/>
      <c r="O107" s="141"/>
      <c r="P107" s="141"/>
      <c r="Q107" s="141"/>
      <c r="R107" s="127"/>
    </row>
    <row r="108" ht="22.5" hidden="1" customHeight="1">
      <c r="A108" s="127"/>
      <c r="B108" s="152"/>
      <c r="C108" s="136">
        <v>100.0</v>
      </c>
      <c r="D108" s="141"/>
      <c r="E108" s="141"/>
      <c r="F108" s="141"/>
      <c r="G108" s="145"/>
      <c r="H108" s="145"/>
      <c r="I108" s="145"/>
      <c r="J108" s="146"/>
      <c r="K108" s="122"/>
      <c r="L108" s="131"/>
      <c r="M108" s="134"/>
      <c r="N108" s="141"/>
      <c r="O108" s="141"/>
      <c r="P108" s="141"/>
      <c r="Q108" s="141"/>
      <c r="R108" s="127"/>
    </row>
    <row r="109" ht="22.5" hidden="1" customHeight="1">
      <c r="A109" s="127"/>
      <c r="B109" s="152"/>
      <c r="C109" s="136">
        <v>100.0</v>
      </c>
      <c r="D109" s="141"/>
      <c r="E109" s="141"/>
      <c r="F109" s="141"/>
      <c r="G109" s="145"/>
      <c r="H109" s="145"/>
      <c r="I109" s="145"/>
      <c r="J109" s="146"/>
      <c r="K109" s="122"/>
      <c r="L109" s="131"/>
      <c r="M109" s="134"/>
      <c r="N109" s="141"/>
      <c r="O109" s="141"/>
      <c r="P109" s="141"/>
      <c r="Q109" s="141"/>
      <c r="R109" s="127"/>
    </row>
    <row r="110" ht="22.5" hidden="1" customHeight="1">
      <c r="A110" s="127"/>
      <c r="B110" s="144"/>
      <c r="C110" s="136">
        <v>100.0</v>
      </c>
      <c r="D110" s="141"/>
      <c r="E110" s="141"/>
      <c r="F110" s="141"/>
      <c r="G110" s="145"/>
      <c r="H110" s="145"/>
      <c r="I110" s="145"/>
      <c r="J110" s="146"/>
      <c r="K110" s="122"/>
      <c r="L110" s="131"/>
      <c r="M110" s="134"/>
      <c r="N110" s="141"/>
      <c r="O110" s="141"/>
      <c r="P110" s="141"/>
      <c r="Q110" s="141"/>
      <c r="R110" s="127"/>
    </row>
    <row r="111" ht="22.5" hidden="1" customHeight="1">
      <c r="A111" s="127"/>
      <c r="B111" s="144"/>
      <c r="C111" s="136">
        <v>100.0</v>
      </c>
      <c r="D111" s="141"/>
      <c r="E111" s="141"/>
      <c r="F111" s="141"/>
      <c r="G111" s="145"/>
      <c r="H111" s="145"/>
      <c r="I111" s="145"/>
      <c r="J111" s="146"/>
      <c r="K111" s="122"/>
      <c r="L111" s="131"/>
      <c r="M111" s="134"/>
      <c r="N111" s="141"/>
      <c r="O111" s="141"/>
      <c r="P111" s="141"/>
      <c r="Q111" s="141"/>
      <c r="R111" s="127"/>
    </row>
    <row r="112" ht="22.5" hidden="1" customHeight="1">
      <c r="A112" s="127"/>
      <c r="B112" s="152" t="s">
        <v>188</v>
      </c>
      <c r="C112" s="136">
        <v>2000.0</v>
      </c>
      <c r="D112" s="141"/>
      <c r="E112" s="141"/>
      <c r="F112" s="141"/>
      <c r="G112" s="145"/>
      <c r="H112" s="145"/>
      <c r="I112" s="145"/>
      <c r="J112" s="146"/>
      <c r="K112" s="122"/>
      <c r="L112" s="131"/>
      <c r="M112" s="134"/>
      <c r="N112" s="141"/>
      <c r="O112" s="141"/>
      <c r="P112" s="141"/>
      <c r="Q112" s="141"/>
      <c r="R112" s="127"/>
    </row>
    <row r="113" ht="22.5" hidden="1" customHeight="1">
      <c r="A113" s="127"/>
      <c r="B113" s="144"/>
      <c r="C113" s="136">
        <v>2000.0</v>
      </c>
      <c r="D113" s="141"/>
      <c r="E113" s="141"/>
      <c r="F113" s="141"/>
      <c r="G113" s="145"/>
      <c r="H113" s="145"/>
      <c r="I113" s="145"/>
      <c r="J113" s="146"/>
      <c r="K113" s="122"/>
      <c r="L113" s="131"/>
      <c r="M113" s="134"/>
      <c r="N113" s="141"/>
      <c r="O113" s="141"/>
      <c r="P113" s="141"/>
      <c r="Q113" s="141"/>
      <c r="R113" s="127"/>
    </row>
    <row r="114" ht="22.5" hidden="1" customHeight="1">
      <c r="A114" s="127"/>
      <c r="B114" s="144"/>
      <c r="C114" s="136">
        <v>2000.0</v>
      </c>
      <c r="D114" s="141"/>
      <c r="E114" s="141"/>
      <c r="F114" s="141"/>
      <c r="G114" s="145"/>
      <c r="H114" s="145"/>
      <c r="I114" s="145"/>
      <c r="J114" s="146"/>
      <c r="K114" s="122"/>
      <c r="L114" s="131"/>
      <c r="M114" s="134"/>
      <c r="N114" s="141"/>
      <c r="O114" s="141"/>
      <c r="P114" s="141"/>
      <c r="Q114" s="141"/>
      <c r="R114" s="127"/>
    </row>
    <row r="115" ht="22.5" hidden="1" customHeight="1">
      <c r="A115" s="127"/>
      <c r="B115" s="144"/>
      <c r="C115" s="136">
        <v>2000.0</v>
      </c>
      <c r="D115" s="141"/>
      <c r="E115" s="141"/>
      <c r="F115" s="141"/>
      <c r="G115" s="145"/>
      <c r="H115" s="145"/>
      <c r="I115" s="145"/>
      <c r="J115" s="146"/>
      <c r="K115" s="122"/>
      <c r="L115" s="131"/>
      <c r="M115" s="134"/>
      <c r="N115" s="141"/>
      <c r="O115" s="141"/>
      <c r="P115" s="141"/>
      <c r="Q115" s="141"/>
      <c r="R115" s="127"/>
    </row>
    <row r="116" ht="22.5" hidden="1" customHeight="1">
      <c r="A116" s="127"/>
      <c r="B116" s="144"/>
      <c r="C116" s="136">
        <v>2000.0</v>
      </c>
      <c r="D116" s="141"/>
      <c r="E116" s="141"/>
      <c r="F116" s="141"/>
      <c r="G116" s="145"/>
      <c r="H116" s="145"/>
      <c r="I116" s="145"/>
      <c r="J116" s="146"/>
      <c r="K116" s="122"/>
      <c r="L116" s="131"/>
      <c r="M116" s="134"/>
      <c r="N116" s="141"/>
      <c r="O116" s="141"/>
      <c r="P116" s="141"/>
      <c r="Q116" s="141"/>
      <c r="R116" s="127"/>
    </row>
    <row r="117" ht="22.5" customHeight="1">
      <c r="A117" s="127"/>
      <c r="B117" s="144"/>
      <c r="C117" s="141"/>
      <c r="D117" s="141"/>
      <c r="E117" s="141"/>
      <c r="F117" s="141"/>
      <c r="G117" s="145"/>
      <c r="H117" s="145"/>
      <c r="I117" s="145"/>
      <c r="J117" s="146"/>
      <c r="K117" s="122"/>
      <c r="L117" s="131"/>
      <c r="M117" s="134"/>
      <c r="N117" s="141"/>
      <c r="O117" s="141"/>
      <c r="P117" s="141"/>
      <c r="Q117" s="141"/>
      <c r="R117" s="127"/>
    </row>
    <row r="118" ht="22.5" customHeight="1">
      <c r="A118" s="127"/>
      <c r="B118" s="74" t="s">
        <v>189</v>
      </c>
      <c r="C118" s="74" t="s">
        <v>182</v>
      </c>
      <c r="D118" s="84" t="s">
        <v>190</v>
      </c>
      <c r="E118" s="143">
        <v>43000.0</v>
      </c>
      <c r="F118" s="155"/>
      <c r="G118" s="84"/>
      <c r="H118" s="84"/>
      <c r="I118" s="84"/>
      <c r="J118" s="147"/>
      <c r="K118" s="122"/>
      <c r="L118" s="131"/>
      <c r="M118" s="134"/>
      <c r="N118" s="141">
        <f>if(E2="Yes",1,0)</f>
        <v>1</v>
      </c>
      <c r="O118" s="152" t="s">
        <v>122</v>
      </c>
      <c r="P118" s="141"/>
      <c r="Q118" s="141"/>
      <c r="R118" s="127"/>
    </row>
    <row r="119" ht="22.5" hidden="1" customHeight="1">
      <c r="A119" s="127"/>
      <c r="B119" s="152" t="s">
        <v>191</v>
      </c>
      <c r="C119" s="136" t="s">
        <v>90</v>
      </c>
      <c r="D119" s="136" t="s">
        <v>122</v>
      </c>
      <c r="E119" s="136"/>
      <c r="F119" s="136"/>
      <c r="G119" s="145"/>
      <c r="H119" s="145"/>
      <c r="I119" s="145"/>
      <c r="J119" s="146"/>
      <c r="K119" s="122"/>
      <c r="L119" s="131"/>
      <c r="M119" s="134"/>
      <c r="N119" s="141"/>
      <c r="O119" s="141"/>
      <c r="P119" s="141"/>
      <c r="Q119" s="141"/>
      <c r="R119" s="127"/>
    </row>
    <row r="120" ht="22.5" hidden="1" customHeight="1">
      <c r="A120" s="127"/>
      <c r="B120" s="152">
        <v>100.0</v>
      </c>
      <c r="C120" s="136">
        <v>100.0</v>
      </c>
      <c r="D120" s="136">
        <v>400.0</v>
      </c>
      <c r="G120" s="145"/>
      <c r="H120" s="145"/>
      <c r="I120" s="145"/>
      <c r="J120" s="146"/>
      <c r="K120" s="122">
        <f t="shared" ref="K120:K131" si="14">(C120+($N$118*D120))*N120</f>
        <v>0</v>
      </c>
      <c r="L120" s="131"/>
      <c r="M120" s="134"/>
      <c r="N120" s="141">
        <f t="shared" ref="N120:N131" si="15">if(or($B$2="MONTHLY TOTAL",$E$118&lt;B120),1,0)</f>
        <v>0</v>
      </c>
      <c r="O120" s="141"/>
      <c r="P120" s="141"/>
      <c r="Q120" s="141"/>
      <c r="R120" s="127"/>
    </row>
    <row r="121" ht="22.5" hidden="1" customHeight="1">
      <c r="A121" s="127"/>
      <c r="B121" s="152">
        <v>1050.0</v>
      </c>
      <c r="C121" s="136">
        <v>225.0</v>
      </c>
      <c r="D121" s="136">
        <v>900.0</v>
      </c>
      <c r="G121" s="145"/>
      <c r="H121" s="145"/>
      <c r="I121" s="145"/>
      <c r="J121" s="146"/>
      <c r="K121" s="122">
        <f t="shared" si="14"/>
        <v>0</v>
      </c>
      <c r="L121" s="131"/>
      <c r="M121" s="134"/>
      <c r="N121" s="141">
        <f t="shared" si="15"/>
        <v>0</v>
      </c>
      <c r="O121" s="141"/>
      <c r="P121" s="141"/>
      <c r="Q121" s="141"/>
      <c r="R121" s="127"/>
    </row>
    <row r="122" ht="22.5" hidden="1" customHeight="1">
      <c r="A122" s="127"/>
      <c r="B122" s="152">
        <v>3550.0</v>
      </c>
      <c r="C122" s="136">
        <v>300.0</v>
      </c>
      <c r="D122" s="136">
        <v>1500.0</v>
      </c>
      <c r="G122" s="145"/>
      <c r="H122" s="145"/>
      <c r="I122" s="145"/>
      <c r="J122" s="146"/>
      <c r="K122" s="122">
        <f t="shared" si="14"/>
        <v>0</v>
      </c>
      <c r="L122" s="131"/>
      <c r="M122" s="134"/>
      <c r="N122" s="141">
        <f t="shared" si="15"/>
        <v>0</v>
      </c>
      <c r="O122" s="141"/>
      <c r="P122" s="141"/>
      <c r="Q122" s="141"/>
      <c r="R122" s="127"/>
    </row>
    <row r="123" ht="22.5" hidden="1" customHeight="1">
      <c r="A123" s="127"/>
      <c r="B123" s="152">
        <v>6950.0</v>
      </c>
      <c r="C123" s="136">
        <v>225.0</v>
      </c>
      <c r="D123" s="136">
        <v>900.0</v>
      </c>
      <c r="G123" s="145"/>
      <c r="H123" s="145"/>
      <c r="I123" s="145"/>
      <c r="J123" s="146"/>
      <c r="K123" s="122">
        <f t="shared" si="14"/>
        <v>0</v>
      </c>
      <c r="L123" s="131"/>
      <c r="M123" s="134"/>
      <c r="N123" s="141">
        <f t="shared" si="15"/>
        <v>0</v>
      </c>
      <c r="O123" s="141"/>
      <c r="P123" s="141"/>
      <c r="Q123" s="141"/>
      <c r="R123" s="127"/>
    </row>
    <row r="124" ht="22.5" hidden="1" customHeight="1">
      <c r="A124" s="127"/>
      <c r="B124" s="152">
        <v>12050.0</v>
      </c>
      <c r="C124" s="136">
        <v>525.0</v>
      </c>
      <c r="D124" s="136">
        <v>2100.0</v>
      </c>
      <c r="G124" s="145"/>
      <c r="H124" s="145"/>
      <c r="I124" s="145"/>
      <c r="J124" s="146"/>
      <c r="K124" s="122">
        <f t="shared" si="14"/>
        <v>0</v>
      </c>
      <c r="L124" s="131"/>
      <c r="M124" s="134"/>
      <c r="N124" s="141">
        <f t="shared" si="15"/>
        <v>0</v>
      </c>
      <c r="O124" s="141"/>
      <c r="P124" s="141"/>
      <c r="Q124" s="141"/>
      <c r="R124" s="127"/>
    </row>
    <row r="125" ht="22.5" hidden="1" customHeight="1">
      <c r="A125" s="127"/>
      <c r="B125" s="152">
        <v>15250.0</v>
      </c>
      <c r="C125" s="136">
        <v>300.0</v>
      </c>
      <c r="D125" s="136">
        <v>1200.0</v>
      </c>
      <c r="G125" s="145"/>
      <c r="H125" s="145"/>
      <c r="I125" s="145"/>
      <c r="J125" s="146"/>
      <c r="K125" s="122">
        <f t="shared" si="14"/>
        <v>0</v>
      </c>
      <c r="L125" s="131"/>
      <c r="M125" s="134"/>
      <c r="N125" s="141">
        <f t="shared" si="15"/>
        <v>0</v>
      </c>
      <c r="O125" s="141"/>
      <c r="P125" s="141"/>
      <c r="Q125" s="141"/>
      <c r="R125" s="127"/>
    </row>
    <row r="126" ht="22.5" hidden="1" customHeight="1">
      <c r="A126" s="127"/>
      <c r="B126" s="152">
        <v>18750.0</v>
      </c>
      <c r="C126" s="136">
        <v>1000.0</v>
      </c>
      <c r="D126" s="136">
        <v>4000.0</v>
      </c>
      <c r="F126" s="141"/>
      <c r="G126" s="145"/>
      <c r="H126" s="145"/>
      <c r="I126" s="145"/>
      <c r="J126" s="146"/>
      <c r="K126" s="122">
        <f t="shared" si="14"/>
        <v>0</v>
      </c>
      <c r="L126" s="131"/>
      <c r="M126" s="134"/>
      <c r="N126" s="141">
        <f t="shared" si="15"/>
        <v>0</v>
      </c>
      <c r="O126" s="141"/>
      <c r="P126" s="141"/>
      <c r="Q126" s="141"/>
      <c r="R126" s="127"/>
    </row>
    <row r="127" ht="22.5" hidden="1" customHeight="1">
      <c r="A127" s="127"/>
      <c r="B127" s="152">
        <v>23450.0</v>
      </c>
      <c r="C127" s="136">
        <v>450.0</v>
      </c>
      <c r="D127" s="136">
        <v>1800.0</v>
      </c>
      <c r="E127" s="141"/>
      <c r="F127" s="141"/>
      <c r="G127" s="145"/>
      <c r="H127" s="145"/>
      <c r="I127" s="145"/>
      <c r="J127" s="146"/>
      <c r="K127" s="122">
        <f t="shared" si="14"/>
        <v>0</v>
      </c>
      <c r="L127" s="131"/>
      <c r="M127" s="134"/>
      <c r="N127" s="141">
        <f t="shared" si="15"/>
        <v>0</v>
      </c>
      <c r="O127" s="141"/>
      <c r="P127" s="141"/>
      <c r="Q127" s="141"/>
      <c r="R127" s="127"/>
    </row>
    <row r="128" ht="22.5" hidden="1" customHeight="1">
      <c r="A128" s="127"/>
      <c r="B128" s="152">
        <v>31000.0</v>
      </c>
      <c r="C128" s="136">
        <v>20.0</v>
      </c>
      <c r="D128" s="141"/>
      <c r="E128" s="141"/>
      <c r="F128" s="141"/>
      <c r="G128" s="145"/>
      <c r="H128" s="145"/>
      <c r="I128" s="145"/>
      <c r="J128" s="146"/>
      <c r="K128" s="122">
        <f t="shared" si="14"/>
        <v>0</v>
      </c>
      <c r="L128" s="131"/>
      <c r="M128" s="134"/>
      <c r="N128" s="141">
        <f t="shared" si="15"/>
        <v>0</v>
      </c>
      <c r="O128" s="141"/>
      <c r="P128" s="141"/>
      <c r="Q128" s="141"/>
      <c r="R128" s="127"/>
    </row>
    <row r="129" ht="22.5" hidden="1" customHeight="1">
      <c r="A129" s="127"/>
      <c r="B129" s="152">
        <v>35000.0</v>
      </c>
      <c r="C129" s="136">
        <v>20.0</v>
      </c>
      <c r="D129" s="141"/>
      <c r="E129" s="141"/>
      <c r="F129" s="141"/>
      <c r="G129" s="145"/>
      <c r="H129" s="145"/>
      <c r="I129" s="145"/>
      <c r="J129" s="146"/>
      <c r="K129" s="122">
        <f t="shared" si="14"/>
        <v>0</v>
      </c>
      <c r="L129" s="131"/>
      <c r="M129" s="134"/>
      <c r="N129" s="141">
        <f t="shared" si="15"/>
        <v>0</v>
      </c>
      <c r="O129" s="141"/>
      <c r="P129" s="141"/>
      <c r="Q129" s="141"/>
      <c r="R129" s="127"/>
    </row>
    <row r="130" ht="22.5" hidden="1" customHeight="1">
      <c r="A130" s="127"/>
      <c r="B130" s="152">
        <v>39000.0</v>
      </c>
      <c r="C130" s="136">
        <v>20.0</v>
      </c>
      <c r="D130" s="141"/>
      <c r="E130" s="141"/>
      <c r="F130" s="141"/>
      <c r="G130" s="145"/>
      <c r="H130" s="145"/>
      <c r="I130" s="145"/>
      <c r="J130" s="146"/>
      <c r="K130" s="122">
        <f t="shared" si="14"/>
        <v>0</v>
      </c>
      <c r="L130" s="131"/>
      <c r="M130" s="134"/>
      <c r="N130" s="141">
        <f t="shared" si="15"/>
        <v>0</v>
      </c>
      <c r="O130" s="141"/>
      <c r="P130" s="141"/>
      <c r="Q130" s="141"/>
      <c r="R130" s="127"/>
    </row>
    <row r="131" ht="22.5" hidden="1" customHeight="1">
      <c r="A131" s="127"/>
      <c r="B131" s="152">
        <v>43000.0</v>
      </c>
      <c r="C131" s="136">
        <v>20.0</v>
      </c>
      <c r="D131" s="141"/>
      <c r="E131" s="141"/>
      <c r="F131" s="141"/>
      <c r="G131" s="145"/>
      <c r="H131" s="145"/>
      <c r="I131" s="145"/>
      <c r="J131" s="146"/>
      <c r="K131" s="122">
        <f t="shared" si="14"/>
        <v>0</v>
      </c>
      <c r="L131" s="131"/>
      <c r="M131" s="134"/>
      <c r="N131" s="141">
        <f t="shared" si="15"/>
        <v>0</v>
      </c>
      <c r="O131" s="141"/>
      <c r="P131" s="141"/>
      <c r="Q131" s="141"/>
      <c r="R131" s="127"/>
    </row>
    <row r="132" ht="22.5" customHeight="1">
      <c r="A132" s="127"/>
      <c r="B132" s="144"/>
      <c r="C132" s="136"/>
      <c r="D132" s="141"/>
      <c r="E132" s="141"/>
      <c r="F132" s="141"/>
      <c r="G132" s="145"/>
      <c r="H132" s="145"/>
      <c r="I132" s="145"/>
      <c r="J132" s="146"/>
      <c r="K132" s="122"/>
      <c r="L132" s="131"/>
      <c r="M132" s="134"/>
      <c r="N132" s="141"/>
      <c r="O132" s="141"/>
      <c r="P132" s="141"/>
      <c r="Q132" s="141"/>
      <c r="R132" s="127"/>
    </row>
    <row r="133" ht="22.5" customHeight="1">
      <c r="A133" s="127"/>
      <c r="B133" s="74" t="s">
        <v>192</v>
      </c>
      <c r="C133" s="74" t="s">
        <v>182</v>
      </c>
      <c r="D133" s="84" t="s">
        <v>193</v>
      </c>
      <c r="E133" s="143">
        <v>1.0</v>
      </c>
      <c r="F133" s="155"/>
      <c r="G133" s="84"/>
      <c r="H133" s="84"/>
      <c r="I133" s="84"/>
      <c r="J133" s="146"/>
      <c r="K133" s="122"/>
      <c r="L133" s="131"/>
      <c r="M133" s="134"/>
      <c r="N133" s="136" t="s">
        <v>194</v>
      </c>
      <c r="O133" s="141">
        <f>E133-1+G3</f>
        <v>300.3715188</v>
      </c>
      <c r="P133" s="141"/>
      <c r="Q133" s="141"/>
      <c r="R133" s="127"/>
    </row>
    <row r="134" ht="22.5" hidden="1" customHeight="1">
      <c r="A134" s="127"/>
      <c r="B134" s="152" t="s">
        <v>195</v>
      </c>
      <c r="C134" s="152" t="s">
        <v>90</v>
      </c>
      <c r="D134" s="136" t="s">
        <v>196</v>
      </c>
      <c r="E134" s="141"/>
      <c r="F134" s="141"/>
      <c r="G134" s="145"/>
      <c r="H134" s="145"/>
      <c r="I134" s="145"/>
      <c r="J134" s="147" t="s">
        <v>197</v>
      </c>
      <c r="K134" s="174" t="s">
        <v>88</v>
      </c>
      <c r="L134" s="131"/>
      <c r="M134" s="134"/>
      <c r="N134" s="136"/>
      <c r="O134" s="141"/>
      <c r="P134" s="141"/>
      <c r="Q134" s="141"/>
      <c r="R134" s="127"/>
    </row>
    <row r="135" ht="22.5" hidden="1" customHeight="1">
      <c r="A135" s="127"/>
      <c r="B135" s="152">
        <v>1.0</v>
      </c>
      <c r="E135" s="141"/>
      <c r="F135" s="141"/>
      <c r="G135" s="145"/>
      <c r="H135" s="145"/>
      <c r="I135" s="145"/>
      <c r="J135" s="146">
        <f t="shared" ref="J135:J162" si="16">if($O$133&lt;$B135,1,0)*if(B135&gt;($E$133+$E$3),0,1)</f>
        <v>0</v>
      </c>
      <c r="K135" s="122">
        <f>C135*$J135</f>
        <v>0</v>
      </c>
      <c r="L135" s="131"/>
      <c r="M135" s="134"/>
      <c r="N135" s="141"/>
      <c r="O135" s="141"/>
      <c r="P135" s="141"/>
      <c r="Q135" s="141"/>
      <c r="R135" s="127"/>
    </row>
    <row r="136" ht="22.5" hidden="1" customHeight="1">
      <c r="A136" s="127"/>
      <c r="B136" s="152">
        <v>2.0</v>
      </c>
      <c r="C136" s="144"/>
      <c r="D136" s="136">
        <v>5000.0</v>
      </c>
      <c r="E136" s="141"/>
      <c r="F136" s="141"/>
      <c r="G136" s="145"/>
      <c r="H136" s="145"/>
      <c r="I136" s="145"/>
      <c r="J136" s="146">
        <f t="shared" si="16"/>
        <v>0</v>
      </c>
      <c r="K136" s="122">
        <f t="shared" ref="K136:K162" si="17">C136*J136</f>
        <v>0</v>
      </c>
      <c r="L136" s="131"/>
      <c r="M136" s="134"/>
      <c r="N136" s="141"/>
      <c r="O136" s="141"/>
      <c r="P136" s="141"/>
      <c r="Q136" s="141"/>
      <c r="R136" s="127"/>
    </row>
    <row r="137" ht="22.5" hidden="1" customHeight="1">
      <c r="A137" s="127"/>
      <c r="B137" s="152">
        <v>4.0</v>
      </c>
      <c r="C137" s="144"/>
      <c r="D137" s="136">
        <v>5000.0</v>
      </c>
      <c r="E137" s="141"/>
      <c r="F137" s="141"/>
      <c r="G137" s="145"/>
      <c r="H137" s="145"/>
      <c r="I137" s="145"/>
      <c r="J137" s="146">
        <f t="shared" si="16"/>
        <v>0</v>
      </c>
      <c r="K137" s="122">
        <f t="shared" si="17"/>
        <v>0</v>
      </c>
      <c r="L137" s="131"/>
      <c r="M137" s="134"/>
      <c r="N137" s="141"/>
      <c r="O137" s="141"/>
      <c r="P137" s="141"/>
      <c r="Q137" s="141"/>
      <c r="R137" s="127"/>
    </row>
    <row r="138" ht="22.5" hidden="1" customHeight="1">
      <c r="A138" s="127"/>
      <c r="B138" s="152">
        <v>6.0</v>
      </c>
      <c r="C138" s="144"/>
      <c r="D138" s="136">
        <v>5000.0</v>
      </c>
      <c r="E138" s="141"/>
      <c r="F138" s="141"/>
      <c r="G138" s="145"/>
      <c r="H138" s="145"/>
      <c r="I138" s="145"/>
      <c r="J138" s="146">
        <f t="shared" si="16"/>
        <v>0</v>
      </c>
      <c r="K138" s="122">
        <f t="shared" si="17"/>
        <v>0</v>
      </c>
      <c r="L138" s="131"/>
      <c r="M138" s="134"/>
      <c r="N138" s="141"/>
      <c r="O138" s="141"/>
      <c r="P138" s="141"/>
      <c r="Q138" s="141"/>
      <c r="R138" s="127"/>
    </row>
    <row r="139" ht="22.5" hidden="1" customHeight="1">
      <c r="A139" s="127"/>
      <c r="B139" s="152">
        <v>8.0</v>
      </c>
      <c r="C139" s="144"/>
      <c r="D139" s="136">
        <v>7500.0</v>
      </c>
      <c r="E139" s="141"/>
      <c r="F139" s="141"/>
      <c r="G139" s="145"/>
      <c r="H139" s="145"/>
      <c r="I139" s="145"/>
      <c r="J139" s="146">
        <f t="shared" si="16"/>
        <v>0</v>
      </c>
      <c r="K139" s="122">
        <f t="shared" si="17"/>
        <v>0</v>
      </c>
      <c r="L139" s="131"/>
      <c r="M139" s="134"/>
      <c r="N139" s="141"/>
      <c r="O139" s="141"/>
      <c r="P139" s="141"/>
      <c r="Q139" s="141"/>
      <c r="R139" s="127"/>
    </row>
    <row r="140" ht="22.5" hidden="1" customHeight="1">
      <c r="A140" s="127"/>
      <c r="B140" s="152">
        <v>11.0</v>
      </c>
      <c r="C140" s="152">
        <v>250.0</v>
      </c>
      <c r="D140" s="136"/>
      <c r="E140" s="141"/>
      <c r="F140" s="141"/>
      <c r="G140" s="145"/>
      <c r="H140" s="145"/>
      <c r="I140" s="145"/>
      <c r="J140" s="146">
        <f t="shared" si="16"/>
        <v>0</v>
      </c>
      <c r="K140" s="122">
        <f t="shared" si="17"/>
        <v>0</v>
      </c>
      <c r="L140" s="131"/>
      <c r="M140" s="134"/>
      <c r="N140" s="141"/>
      <c r="O140" s="141"/>
      <c r="P140" s="141"/>
      <c r="Q140" s="141"/>
      <c r="R140" s="127"/>
    </row>
    <row r="141" ht="22.5" hidden="1" customHeight="1">
      <c r="A141" s="127"/>
      <c r="B141" s="152">
        <v>12.0</v>
      </c>
      <c r="C141" s="136"/>
      <c r="D141" s="136">
        <v>7500.0</v>
      </c>
      <c r="E141" s="141"/>
      <c r="F141" s="141"/>
      <c r="G141" s="145"/>
      <c r="H141" s="145"/>
      <c r="I141" s="145"/>
      <c r="J141" s="146">
        <f t="shared" si="16"/>
        <v>0</v>
      </c>
      <c r="K141" s="122">
        <f t="shared" si="17"/>
        <v>0</v>
      </c>
      <c r="L141" s="131"/>
      <c r="M141" s="134"/>
      <c r="N141" s="141"/>
      <c r="O141" s="141"/>
      <c r="P141" s="141"/>
      <c r="Q141" s="141"/>
      <c r="R141" s="127"/>
    </row>
    <row r="142" ht="22.5" hidden="1" customHeight="1">
      <c r="A142" s="127"/>
      <c r="B142" s="152">
        <v>16.0</v>
      </c>
      <c r="C142" s="136"/>
      <c r="D142" s="136">
        <v>10000.0</v>
      </c>
      <c r="E142" s="141"/>
      <c r="F142" s="141"/>
      <c r="G142" s="145"/>
      <c r="H142" s="145"/>
      <c r="I142" s="145"/>
      <c r="J142" s="146">
        <f t="shared" si="16"/>
        <v>0</v>
      </c>
      <c r="K142" s="122">
        <f t="shared" si="17"/>
        <v>0</v>
      </c>
      <c r="L142" s="131"/>
      <c r="M142" s="134"/>
      <c r="N142" s="141"/>
      <c r="O142" s="141"/>
      <c r="P142" s="141"/>
      <c r="Q142" s="141"/>
      <c r="R142" s="127"/>
    </row>
    <row r="143" ht="22.5" hidden="1" customHeight="1">
      <c r="A143" s="127"/>
      <c r="B143" s="152">
        <v>17.0</v>
      </c>
      <c r="C143" s="136">
        <v>400.0</v>
      </c>
      <c r="D143" s="141"/>
      <c r="E143" s="141"/>
      <c r="F143" s="141"/>
      <c r="G143" s="145"/>
      <c r="H143" s="145"/>
      <c r="I143" s="145"/>
      <c r="J143" s="146">
        <f t="shared" si="16"/>
        <v>0</v>
      </c>
      <c r="K143" s="122">
        <f t="shared" si="17"/>
        <v>0</v>
      </c>
      <c r="L143" s="131"/>
      <c r="M143" s="134"/>
      <c r="N143" s="141"/>
      <c r="O143" s="141"/>
      <c r="P143" s="141"/>
      <c r="Q143" s="141"/>
      <c r="R143" s="127"/>
    </row>
    <row r="144" ht="22.5" hidden="1" customHeight="1">
      <c r="A144" s="127"/>
      <c r="B144" s="152">
        <v>18.0</v>
      </c>
      <c r="C144" s="136"/>
      <c r="D144" s="136">
        <v>12500.0</v>
      </c>
      <c r="E144" s="141"/>
      <c r="F144" s="141"/>
      <c r="G144" s="145"/>
      <c r="H144" s="145"/>
      <c r="I144" s="145"/>
      <c r="J144" s="146">
        <f t="shared" si="16"/>
        <v>0</v>
      </c>
      <c r="K144" s="122">
        <f t="shared" si="17"/>
        <v>0</v>
      </c>
      <c r="L144" s="131"/>
      <c r="M144" s="134"/>
      <c r="N144" s="141"/>
      <c r="O144" s="141"/>
      <c r="P144" s="141"/>
      <c r="Q144" s="141"/>
      <c r="R144" s="127"/>
    </row>
    <row r="145" ht="22.5" hidden="1" customHeight="1">
      <c r="A145" s="127"/>
      <c r="B145" s="152">
        <f t="shared" ref="B145:B162" si="18">B136+21</f>
        <v>23</v>
      </c>
      <c r="C145" s="144"/>
      <c r="D145" s="136">
        <v>5000.0</v>
      </c>
      <c r="E145" s="141"/>
      <c r="F145" s="141"/>
      <c r="G145" s="145"/>
      <c r="H145" s="145"/>
      <c r="I145" s="145"/>
      <c r="J145" s="146">
        <f t="shared" si="16"/>
        <v>0</v>
      </c>
      <c r="K145" s="122">
        <f t="shared" si="17"/>
        <v>0</v>
      </c>
      <c r="L145" s="131"/>
      <c r="M145" s="134"/>
      <c r="N145" s="141"/>
      <c r="O145" s="141"/>
      <c r="P145" s="141"/>
      <c r="Q145" s="141"/>
      <c r="R145" s="127"/>
    </row>
    <row r="146" ht="22.5" hidden="1" customHeight="1">
      <c r="A146" s="127"/>
      <c r="B146" s="152">
        <f t="shared" si="18"/>
        <v>25</v>
      </c>
      <c r="C146" s="144"/>
      <c r="D146" s="136">
        <v>5000.0</v>
      </c>
      <c r="E146" s="141"/>
      <c r="F146" s="141"/>
      <c r="G146" s="145"/>
      <c r="H146" s="145"/>
      <c r="I146" s="145"/>
      <c r="J146" s="146">
        <f t="shared" si="16"/>
        <v>0</v>
      </c>
      <c r="K146" s="122">
        <f t="shared" si="17"/>
        <v>0</v>
      </c>
      <c r="L146" s="131"/>
      <c r="M146" s="134"/>
      <c r="N146" s="141"/>
      <c r="O146" s="141"/>
      <c r="P146" s="141"/>
      <c r="Q146" s="141"/>
      <c r="R146" s="127"/>
    </row>
    <row r="147" ht="22.5" hidden="1" customHeight="1">
      <c r="A147" s="127"/>
      <c r="B147" s="152">
        <f t="shared" si="18"/>
        <v>27</v>
      </c>
      <c r="C147" s="144"/>
      <c r="D147" s="136">
        <v>5000.0</v>
      </c>
      <c r="E147" s="141"/>
      <c r="F147" s="141"/>
      <c r="G147" s="145"/>
      <c r="H147" s="145"/>
      <c r="I147" s="145"/>
      <c r="J147" s="146">
        <f t="shared" si="16"/>
        <v>0</v>
      </c>
      <c r="K147" s="122">
        <f t="shared" si="17"/>
        <v>0</v>
      </c>
      <c r="L147" s="131"/>
      <c r="M147" s="134"/>
      <c r="N147" s="141"/>
      <c r="O147" s="141"/>
      <c r="P147" s="141"/>
      <c r="Q147" s="141"/>
      <c r="R147" s="127"/>
    </row>
    <row r="148" ht="22.5" hidden="1" customHeight="1">
      <c r="A148" s="127"/>
      <c r="B148" s="152">
        <f t="shared" si="18"/>
        <v>29</v>
      </c>
      <c r="C148" s="144"/>
      <c r="D148" s="136">
        <v>7500.0</v>
      </c>
      <c r="E148" s="141"/>
      <c r="F148" s="141"/>
      <c r="G148" s="145"/>
      <c r="H148" s="145"/>
      <c r="I148" s="145"/>
      <c r="J148" s="146">
        <f t="shared" si="16"/>
        <v>0</v>
      </c>
      <c r="K148" s="122">
        <f t="shared" si="17"/>
        <v>0</v>
      </c>
      <c r="L148" s="131"/>
      <c r="M148" s="134"/>
      <c r="N148" s="141"/>
      <c r="O148" s="141"/>
      <c r="P148" s="141"/>
      <c r="Q148" s="141"/>
      <c r="R148" s="127"/>
    </row>
    <row r="149" ht="22.5" hidden="1" customHeight="1">
      <c r="A149" s="127"/>
      <c r="B149" s="152">
        <f t="shared" si="18"/>
        <v>32</v>
      </c>
      <c r="C149" s="152">
        <v>250.0</v>
      </c>
      <c r="D149" s="136"/>
      <c r="E149" s="141"/>
      <c r="F149" s="141"/>
      <c r="G149" s="145"/>
      <c r="H149" s="145"/>
      <c r="I149" s="145"/>
      <c r="J149" s="146">
        <f t="shared" si="16"/>
        <v>0</v>
      </c>
      <c r="K149" s="122">
        <f t="shared" si="17"/>
        <v>0</v>
      </c>
      <c r="L149" s="131"/>
      <c r="M149" s="134"/>
      <c r="N149" s="141"/>
      <c r="O149" s="141"/>
      <c r="P149" s="141"/>
      <c r="Q149" s="141"/>
      <c r="R149" s="127"/>
    </row>
    <row r="150" ht="22.5" hidden="1" customHeight="1">
      <c r="A150" s="127"/>
      <c r="B150" s="152">
        <f t="shared" si="18"/>
        <v>33</v>
      </c>
      <c r="C150" s="136"/>
      <c r="D150" s="136">
        <v>7500.0</v>
      </c>
      <c r="E150" s="141"/>
      <c r="F150" s="141"/>
      <c r="G150" s="145"/>
      <c r="H150" s="145"/>
      <c r="I150" s="145"/>
      <c r="J150" s="146">
        <f t="shared" si="16"/>
        <v>0</v>
      </c>
      <c r="K150" s="122">
        <f t="shared" si="17"/>
        <v>0</v>
      </c>
      <c r="L150" s="131"/>
      <c r="M150" s="134"/>
      <c r="N150" s="141"/>
      <c r="O150" s="141"/>
      <c r="P150" s="141"/>
      <c r="Q150" s="141"/>
      <c r="R150" s="127"/>
    </row>
    <row r="151" ht="22.5" hidden="1" customHeight="1">
      <c r="A151" s="127"/>
      <c r="B151" s="152">
        <f t="shared" si="18"/>
        <v>37</v>
      </c>
      <c r="C151" s="136"/>
      <c r="D151" s="136">
        <v>10000.0</v>
      </c>
      <c r="E151" s="141"/>
      <c r="F151" s="141"/>
      <c r="G151" s="145"/>
      <c r="H151" s="145"/>
      <c r="I151" s="145"/>
      <c r="J151" s="146">
        <f t="shared" si="16"/>
        <v>0</v>
      </c>
      <c r="K151" s="122">
        <f t="shared" si="17"/>
        <v>0</v>
      </c>
      <c r="L151" s="131"/>
      <c r="M151" s="134"/>
      <c r="N151" s="141"/>
      <c r="O151" s="141"/>
      <c r="P151" s="141"/>
      <c r="Q151" s="141"/>
      <c r="R151" s="127"/>
    </row>
    <row r="152" ht="22.5" hidden="1" customHeight="1">
      <c r="A152" s="127"/>
      <c r="B152" s="152">
        <f t="shared" si="18"/>
        <v>38</v>
      </c>
      <c r="C152" s="136">
        <v>400.0</v>
      </c>
      <c r="D152" s="141"/>
      <c r="E152" s="141"/>
      <c r="F152" s="141"/>
      <c r="G152" s="145"/>
      <c r="H152" s="145"/>
      <c r="I152" s="145"/>
      <c r="J152" s="146">
        <f t="shared" si="16"/>
        <v>0</v>
      </c>
      <c r="K152" s="122">
        <f t="shared" si="17"/>
        <v>0</v>
      </c>
      <c r="L152" s="131"/>
      <c r="M152" s="134"/>
      <c r="N152" s="141"/>
      <c r="O152" s="141"/>
      <c r="P152" s="141"/>
      <c r="Q152" s="141"/>
      <c r="R152" s="127"/>
    </row>
    <row r="153" ht="22.5" hidden="1" customHeight="1">
      <c r="A153" s="127"/>
      <c r="B153" s="152">
        <f t="shared" si="18"/>
        <v>39</v>
      </c>
      <c r="C153" s="136"/>
      <c r="D153" s="136">
        <v>12500.0</v>
      </c>
      <c r="E153" s="141"/>
      <c r="F153" s="141"/>
      <c r="G153" s="145"/>
      <c r="H153" s="145"/>
      <c r="I153" s="145"/>
      <c r="J153" s="146">
        <f t="shared" si="16"/>
        <v>0</v>
      </c>
      <c r="K153" s="122">
        <f t="shared" si="17"/>
        <v>0</v>
      </c>
      <c r="L153" s="131"/>
      <c r="M153" s="134"/>
      <c r="N153" s="141"/>
      <c r="O153" s="141"/>
      <c r="P153" s="141"/>
      <c r="Q153" s="141"/>
      <c r="R153" s="127"/>
    </row>
    <row r="154" ht="22.5" hidden="1" customHeight="1">
      <c r="A154" s="127"/>
      <c r="B154" s="152">
        <f t="shared" si="18"/>
        <v>44</v>
      </c>
      <c r="C154" s="144"/>
      <c r="D154" s="136">
        <v>5000.0</v>
      </c>
      <c r="E154" s="141"/>
      <c r="F154" s="141"/>
      <c r="G154" s="145"/>
      <c r="H154" s="145"/>
      <c r="I154" s="145"/>
      <c r="J154" s="146">
        <f t="shared" si="16"/>
        <v>0</v>
      </c>
      <c r="K154" s="122">
        <f t="shared" si="17"/>
        <v>0</v>
      </c>
      <c r="L154" s="131"/>
      <c r="M154" s="134"/>
      <c r="N154" s="141"/>
      <c r="O154" s="141"/>
      <c r="P154" s="141"/>
      <c r="Q154" s="141"/>
      <c r="R154" s="127"/>
    </row>
    <row r="155" ht="22.5" hidden="1" customHeight="1">
      <c r="A155" s="127"/>
      <c r="B155" s="152">
        <f t="shared" si="18"/>
        <v>46</v>
      </c>
      <c r="C155" s="144"/>
      <c r="D155" s="136">
        <v>5000.0</v>
      </c>
      <c r="E155" s="141"/>
      <c r="F155" s="141"/>
      <c r="G155" s="145"/>
      <c r="H155" s="145"/>
      <c r="I155" s="145"/>
      <c r="J155" s="146">
        <f t="shared" si="16"/>
        <v>0</v>
      </c>
      <c r="K155" s="122">
        <f t="shared" si="17"/>
        <v>0</v>
      </c>
      <c r="L155" s="131"/>
      <c r="M155" s="134"/>
      <c r="N155" s="141"/>
      <c r="O155" s="141"/>
      <c r="P155" s="141"/>
      <c r="Q155" s="141"/>
      <c r="R155" s="127"/>
    </row>
    <row r="156" ht="22.5" hidden="1" customHeight="1">
      <c r="A156" s="127"/>
      <c r="B156" s="152">
        <f t="shared" si="18"/>
        <v>48</v>
      </c>
      <c r="C156" s="144"/>
      <c r="D156" s="136">
        <v>5000.0</v>
      </c>
      <c r="E156" s="141"/>
      <c r="F156" s="141"/>
      <c r="G156" s="145"/>
      <c r="H156" s="145"/>
      <c r="I156" s="145"/>
      <c r="J156" s="146">
        <f t="shared" si="16"/>
        <v>0</v>
      </c>
      <c r="K156" s="122">
        <f t="shared" si="17"/>
        <v>0</v>
      </c>
      <c r="L156" s="131"/>
      <c r="M156" s="134"/>
      <c r="N156" s="141"/>
      <c r="O156" s="141"/>
      <c r="P156" s="141"/>
      <c r="Q156" s="141"/>
      <c r="R156" s="127"/>
    </row>
    <row r="157" ht="22.5" hidden="1" customHeight="1">
      <c r="A157" s="127"/>
      <c r="B157" s="152">
        <f t="shared" si="18"/>
        <v>50</v>
      </c>
      <c r="C157" s="144"/>
      <c r="D157" s="136">
        <v>7500.0</v>
      </c>
      <c r="E157" s="141"/>
      <c r="F157" s="141"/>
      <c r="G157" s="145"/>
      <c r="H157" s="145"/>
      <c r="I157" s="145"/>
      <c r="J157" s="146">
        <f t="shared" si="16"/>
        <v>0</v>
      </c>
      <c r="K157" s="122">
        <f t="shared" si="17"/>
        <v>0</v>
      </c>
      <c r="L157" s="131"/>
      <c r="M157" s="134"/>
      <c r="N157" s="141"/>
      <c r="O157" s="141"/>
      <c r="P157" s="141"/>
      <c r="Q157" s="141"/>
      <c r="R157" s="127"/>
    </row>
    <row r="158" ht="22.5" hidden="1" customHeight="1">
      <c r="A158" s="127"/>
      <c r="B158" s="152">
        <f t="shared" si="18"/>
        <v>53</v>
      </c>
      <c r="C158" s="152">
        <v>250.0</v>
      </c>
      <c r="D158" s="136"/>
      <c r="E158" s="141"/>
      <c r="F158" s="141"/>
      <c r="G158" s="145"/>
      <c r="H158" s="145"/>
      <c r="I158" s="145"/>
      <c r="J158" s="146">
        <f t="shared" si="16"/>
        <v>0</v>
      </c>
      <c r="K158" s="122">
        <f t="shared" si="17"/>
        <v>0</v>
      </c>
      <c r="L158" s="131"/>
      <c r="M158" s="134"/>
      <c r="N158" s="141"/>
      <c r="O158" s="141"/>
      <c r="P158" s="141"/>
      <c r="Q158" s="141"/>
      <c r="R158" s="127"/>
    </row>
    <row r="159" ht="22.5" hidden="1" customHeight="1">
      <c r="A159" s="127"/>
      <c r="B159" s="152">
        <f t="shared" si="18"/>
        <v>54</v>
      </c>
      <c r="C159" s="136"/>
      <c r="D159" s="136">
        <v>7500.0</v>
      </c>
      <c r="E159" s="141"/>
      <c r="F159" s="141"/>
      <c r="G159" s="145"/>
      <c r="H159" s="145"/>
      <c r="I159" s="145"/>
      <c r="J159" s="146">
        <f t="shared" si="16"/>
        <v>0</v>
      </c>
      <c r="K159" s="122">
        <f t="shared" si="17"/>
        <v>0</v>
      </c>
      <c r="L159" s="131"/>
      <c r="M159" s="134"/>
      <c r="N159" s="141"/>
      <c r="O159" s="141"/>
      <c r="P159" s="141"/>
      <c r="Q159" s="141"/>
      <c r="R159" s="127"/>
    </row>
    <row r="160" ht="22.5" hidden="1" customHeight="1">
      <c r="A160" s="127"/>
      <c r="B160" s="152">
        <f t="shared" si="18"/>
        <v>58</v>
      </c>
      <c r="C160" s="136"/>
      <c r="D160" s="136">
        <v>10000.0</v>
      </c>
      <c r="E160" s="141"/>
      <c r="F160" s="141"/>
      <c r="G160" s="145"/>
      <c r="H160" s="145"/>
      <c r="I160" s="145"/>
      <c r="J160" s="146">
        <f t="shared" si="16"/>
        <v>0</v>
      </c>
      <c r="K160" s="122">
        <f t="shared" si="17"/>
        <v>0</v>
      </c>
      <c r="L160" s="131"/>
      <c r="M160" s="134"/>
      <c r="N160" s="141"/>
      <c r="O160" s="141"/>
      <c r="P160" s="141"/>
      <c r="Q160" s="141"/>
      <c r="R160" s="127"/>
    </row>
    <row r="161" ht="22.5" hidden="1" customHeight="1">
      <c r="A161" s="127"/>
      <c r="B161" s="152">
        <f t="shared" si="18"/>
        <v>59</v>
      </c>
      <c r="C161" s="136">
        <v>400.0</v>
      </c>
      <c r="D161" s="141"/>
      <c r="E161" s="141"/>
      <c r="F161" s="141"/>
      <c r="G161" s="145"/>
      <c r="H161" s="145"/>
      <c r="I161" s="145"/>
      <c r="J161" s="146">
        <f t="shared" si="16"/>
        <v>0</v>
      </c>
      <c r="K161" s="122">
        <f t="shared" si="17"/>
        <v>0</v>
      </c>
      <c r="L161" s="131"/>
      <c r="M161" s="134"/>
      <c r="N161" s="141"/>
      <c r="O161" s="141"/>
      <c r="P161" s="141"/>
      <c r="Q161" s="141"/>
      <c r="R161" s="127"/>
    </row>
    <row r="162" ht="22.5" hidden="1" customHeight="1">
      <c r="A162" s="127"/>
      <c r="B162" s="152">
        <f t="shared" si="18"/>
        <v>60</v>
      </c>
      <c r="C162" s="136"/>
      <c r="D162" s="136">
        <v>12500.0</v>
      </c>
      <c r="E162" s="141"/>
      <c r="F162" s="141"/>
      <c r="G162" s="145"/>
      <c r="H162" s="145"/>
      <c r="I162" s="145"/>
      <c r="J162" s="146">
        <f t="shared" si="16"/>
        <v>0</v>
      </c>
      <c r="K162" s="122">
        <f t="shared" si="17"/>
        <v>0</v>
      </c>
      <c r="L162" s="131"/>
      <c r="M162" s="134"/>
      <c r="N162" s="141"/>
      <c r="O162" s="141"/>
      <c r="P162" s="141"/>
      <c r="Q162" s="141"/>
      <c r="R162" s="127"/>
    </row>
    <row r="163" ht="22.5" customHeight="1">
      <c r="A163" s="127"/>
      <c r="B163" s="152"/>
      <c r="C163" s="136"/>
      <c r="D163" s="136"/>
      <c r="E163" s="141"/>
      <c r="F163" s="141"/>
      <c r="G163" s="145"/>
      <c r="H163" s="145"/>
      <c r="I163" s="145"/>
      <c r="J163" s="146"/>
      <c r="K163" s="122"/>
      <c r="L163" s="131"/>
      <c r="M163" s="134"/>
      <c r="N163" s="141"/>
      <c r="O163" s="141"/>
      <c r="P163" s="141"/>
      <c r="Q163" s="141"/>
      <c r="R163" s="127"/>
    </row>
  </sheetData>
  <mergeCells count="11">
    <mergeCell ref="D55:E55"/>
    <mergeCell ref="B63:E63"/>
    <mergeCell ref="F63:I63"/>
    <mergeCell ref="B83:I83"/>
    <mergeCell ref="B1:E1"/>
    <mergeCell ref="B2:C2"/>
    <mergeCell ref="B8:I8"/>
    <mergeCell ref="B28:I28"/>
    <mergeCell ref="C30:D30"/>
    <mergeCell ref="C31:D31"/>
    <mergeCell ref="H51:I51"/>
  </mergeCells>
  <conditionalFormatting sqref="I1">
    <cfRule type="cellIs" dxfId="1" priority="1" operator="greaterThan">
      <formula>G1</formula>
    </cfRule>
  </conditionalFormatting>
  <dataValidations>
    <dataValidation type="list" allowBlank="1" showErrorMessage="1" sqref="D34:G37">
      <formula1>"500,400,300,200,100"</formula1>
    </dataValidation>
    <dataValidation type="list" allowBlank="1" showErrorMessage="1" sqref="E9">
      <formula1>"Diamond,Elite"</formula1>
    </dataValidation>
    <dataValidation type="list" allowBlank="1" showErrorMessage="1" sqref="B2">
      <formula1>"MONTHLY TOTAL,REMAINING"</formula1>
    </dataValidation>
    <dataValidation type="list" allowBlank="1" showErrorMessage="1" sqref="C61">
      <formula1>"0,400,800"</formula1>
    </dataValidation>
    <dataValidation type="list" allowBlank="1" showErrorMessage="1" sqref="C9">
      <formula1>"TTP,Coins"</formula1>
    </dataValidation>
    <dataValidation type="list" allowBlank="1" showErrorMessage="1" sqref="E2 G9 D16 D22">
      <formula1>"Yes,No"</formula1>
    </dataValidation>
    <dataValidation type="list" allowBlank="1" showErrorMessage="1" sqref="C30:C31">
      <formula1>Leaderboards!$E$46:$E$100</formula1>
    </dataValidation>
    <dataValidation type="list" allowBlank="1" showErrorMessage="1" sqref="C52:C53">
      <formula1>Leaderboards!$J$19:$J$29</formula1>
    </dataValidation>
    <dataValidation type="list" allowBlank="1" showErrorMessage="1" sqref="D40:D43">
      <formula1>Leaderboards!$A$34:$A$44</formula1>
    </dataValidation>
    <dataValidation type="list" allowBlank="1" showErrorMessage="1" sqref="E118">
      <formula1>'TTP Tracker 26'!$B$120:$B$131</formula1>
    </dataValidation>
    <dataValidation type="list" allowBlank="1" showErrorMessage="1" sqref="D55">
      <formula1>Leaderboards!$E$3:$E$42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4.75"/>
    <col customWidth="1" hidden="1" min="8" max="8" width="14.75"/>
    <col customWidth="1" min="9" max="9" width="14.75"/>
    <col customWidth="1" hidden="1" min="10" max="10" width="14.75"/>
    <col customWidth="1" min="11" max="12" width="16.88"/>
  </cols>
  <sheetData>
    <row r="1">
      <c r="A1" s="175"/>
      <c r="B1" s="175"/>
      <c r="C1" s="175"/>
      <c r="D1" s="176" t="s">
        <v>198</v>
      </c>
      <c r="E1" s="176" t="s">
        <v>195</v>
      </c>
      <c r="F1" s="176" t="s">
        <v>199</v>
      </c>
      <c r="G1" s="176" t="s">
        <v>151</v>
      </c>
      <c r="H1" s="176"/>
      <c r="I1" s="176" t="s">
        <v>152</v>
      </c>
      <c r="J1" s="176"/>
      <c r="K1" s="176" t="s">
        <v>200</v>
      </c>
      <c r="L1" s="176" t="s">
        <v>201</v>
      </c>
      <c r="M1" s="176" t="s">
        <v>136</v>
      </c>
      <c r="N1" s="176" t="s">
        <v>153</v>
      </c>
      <c r="O1" s="176" t="s">
        <v>202</v>
      </c>
      <c r="P1" s="176" t="s">
        <v>203</v>
      </c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</row>
    <row r="2">
      <c r="A2" s="176" t="s">
        <v>204</v>
      </c>
      <c r="B2" s="176" t="s">
        <v>205</v>
      </c>
      <c r="C2" s="176" t="s">
        <v>206</v>
      </c>
      <c r="D2" s="178"/>
      <c r="E2" s="178"/>
      <c r="F2" s="176">
        <f>sum(F3:F1002)</f>
        <v>0</v>
      </c>
      <c r="G2" s="175">
        <f>SUM(G4:G1002)</f>
        <v>0</v>
      </c>
      <c r="H2" s="175"/>
      <c r="I2" s="175">
        <f>SUM(I4:I1002)</f>
        <v>0</v>
      </c>
      <c r="J2" s="175"/>
      <c r="K2" s="175">
        <f t="shared" ref="K2:P2" si="1">SUM(K4:K1002)</f>
        <v>0</v>
      </c>
      <c r="L2" s="175">
        <f t="shared" si="1"/>
        <v>0</v>
      </c>
      <c r="M2" s="175">
        <f t="shared" si="1"/>
        <v>0</v>
      </c>
      <c r="N2" s="175">
        <f t="shared" si="1"/>
        <v>0</v>
      </c>
      <c r="O2" s="175">
        <f t="shared" si="1"/>
        <v>0</v>
      </c>
      <c r="P2" s="175">
        <f t="shared" si="1"/>
        <v>0</v>
      </c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</row>
    <row r="3">
      <c r="A3" s="179">
        <f>IF(and(D3&gt;='TTP Tracker 26'!$C$3,D3&lt;'TTP Tracker 26'!$C$4),1,0)</f>
        <v>1</v>
      </c>
      <c r="B3" s="180">
        <f>if(and(D3&gt;TODAY(),D3&lt;'TTP Tracker 26'!$C$4),1,0)</f>
        <v>0</v>
      </c>
      <c r="C3" s="180">
        <f>if('TTP Tracker 26'!$B$2="MONTHLY TOTAL",$A3,$B3)</f>
        <v>0</v>
      </c>
      <c r="D3" s="181">
        <v>45876.0</v>
      </c>
      <c r="E3" s="180" t="s">
        <v>207</v>
      </c>
      <c r="F3" s="180">
        <f t="shared" ref="F3:F6" si="2">if(E3="Monday",1,0)*if(A3=1,1,0)</f>
        <v>0</v>
      </c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</row>
    <row r="4">
      <c r="A4" s="179">
        <f>IF(and(D4&gt;='TTP Tracker 26'!$C$3,D4&lt;'TTP Tracker 26'!$C$4),1,0)</f>
        <v>1</v>
      </c>
      <c r="B4" s="180">
        <f>if(and(D4&gt;TODAY(),D4&lt;'TTP Tracker 26'!$C$4),1,0)</f>
        <v>0</v>
      </c>
      <c r="C4" s="180">
        <f>if('TTP Tracker 26'!$B$2="MONTHLY TOTAL",$A4,$B4)</f>
        <v>0</v>
      </c>
      <c r="D4" s="181">
        <v>45877.0</v>
      </c>
      <c r="E4" s="180" t="s">
        <v>208</v>
      </c>
      <c r="F4" s="180">
        <f t="shared" si="2"/>
        <v>0</v>
      </c>
      <c r="G4" s="180">
        <f>if('TTP Tracker 26'!$B$2="MONTHLY TOTAL",$A4,$B4)</f>
        <v>0</v>
      </c>
      <c r="H4" s="180"/>
      <c r="I4" s="180"/>
      <c r="J4" s="180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</row>
    <row r="5">
      <c r="A5" s="179">
        <f>IF(and(D5&gt;='TTP Tracker 26'!$C$3,D5&lt;'TTP Tracker 26'!$C$4),1,0)</f>
        <v>1</v>
      </c>
      <c r="B5" s="180">
        <f>if(and(D5&gt;TODAY(),D5&lt;'TTP Tracker 26'!$C$4),1,0)</f>
        <v>0</v>
      </c>
      <c r="C5" s="180">
        <f>if('TTP Tracker 26'!$B$2="MONTHLY TOTAL",$A5,$B5)</f>
        <v>0</v>
      </c>
      <c r="D5" s="181">
        <v>45878.0</v>
      </c>
      <c r="E5" s="180" t="s">
        <v>209</v>
      </c>
      <c r="F5" s="180">
        <f t="shared" si="2"/>
        <v>0</v>
      </c>
      <c r="G5" s="177"/>
      <c r="H5" s="177"/>
      <c r="I5" s="177"/>
      <c r="J5" s="177"/>
      <c r="K5" s="180">
        <f>if('TTP Tracker 26'!$B$2="MONTHLY TOTAL",$A5,$B5)</f>
        <v>0</v>
      </c>
      <c r="L5" s="180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</row>
    <row r="6">
      <c r="A6" s="179">
        <f>IF(and(D6&gt;='TTP Tracker 26'!$C$3,D6&lt;'TTP Tracker 26'!$C$4),1,0)</f>
        <v>1</v>
      </c>
      <c r="B6" s="180">
        <f>if(and(D6&gt;TODAY(),D6&lt;'TTP Tracker 26'!$C$4),1,0)</f>
        <v>0</v>
      </c>
      <c r="C6" s="180">
        <f>if('TTP Tracker 26'!$B$2="MONTHLY TOTAL",$A6,$B6)</f>
        <v>0</v>
      </c>
      <c r="D6" s="181">
        <v>45879.0</v>
      </c>
      <c r="E6" s="180" t="s">
        <v>210</v>
      </c>
      <c r="F6" s="180">
        <f t="shared" si="2"/>
        <v>0</v>
      </c>
      <c r="G6" s="180"/>
      <c r="H6" s="180"/>
      <c r="I6" s="180"/>
      <c r="J6" s="180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</row>
    <row r="7">
      <c r="A7" s="179">
        <f>IF(and(D7&gt;='TTP Tracker 26'!$C$3,D7&lt;'TTP Tracker 26'!$C$4),1,0)</f>
        <v>1</v>
      </c>
      <c r="B7" s="180">
        <f>if(and(D7&gt;TODAY(),D7&lt;'TTP Tracker 26'!$C$4),1,0)</f>
        <v>0</v>
      </c>
      <c r="C7" s="180">
        <f>if('TTP Tracker 26'!$B$2="MONTHLY TOTAL",$A7,$B7)</f>
        <v>0</v>
      </c>
      <c r="D7" s="181">
        <v>45880.0</v>
      </c>
      <c r="E7" s="180" t="s">
        <v>211</v>
      </c>
      <c r="F7" s="180">
        <f>if(E7="Monday",1,0)*if(C7=1,1,0)</f>
        <v>0</v>
      </c>
      <c r="G7" s="177"/>
      <c r="H7" s="177"/>
      <c r="I7" s="177"/>
      <c r="J7" s="177"/>
      <c r="L7" s="180">
        <f>if('TTP Tracker 26'!$B$2="MONTHLY TOTAL",$A7,$B7)</f>
        <v>0</v>
      </c>
      <c r="M7" s="180">
        <f>if('TTP Tracker 26'!$B$2="MONTHLY TOTAL",$A7,$B7)</f>
        <v>0</v>
      </c>
      <c r="N7" s="180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</row>
    <row r="8">
      <c r="A8" s="179">
        <f>IF(and(D8&gt;='TTP Tracker 26'!$C$3,D8&lt;'TTP Tracker 26'!$C$4),1,0)</f>
        <v>1</v>
      </c>
      <c r="B8" s="180">
        <f>if(and(D8&gt;TODAY(),D8&lt;'TTP Tracker 26'!$C$4),1,0)</f>
        <v>0</v>
      </c>
      <c r="C8" s="180">
        <f>if('TTP Tracker 26'!$B$2="MONTHLY TOTAL",$A8,$B8)</f>
        <v>0</v>
      </c>
      <c r="D8" s="181">
        <v>45881.0</v>
      </c>
      <c r="E8" s="180" t="s">
        <v>212</v>
      </c>
      <c r="F8" s="180">
        <f t="shared" ref="F8:F13" si="3">if(E8="Monday",1,0)*if(A8=1,1,0)</f>
        <v>0</v>
      </c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</row>
    <row r="9">
      <c r="A9" s="179">
        <f>IF(and(D9&gt;='TTP Tracker 26'!$C$3,D9&lt;'TTP Tracker 26'!$C$4),1,0)</f>
        <v>1</v>
      </c>
      <c r="B9" s="180">
        <f>if(and(D9&gt;TODAY(),D9&lt;'TTP Tracker 26'!$C$4),1,0)</f>
        <v>0</v>
      </c>
      <c r="C9" s="180">
        <f>if('TTP Tracker 26'!$B$2="MONTHLY TOTAL",$A9,$B9)</f>
        <v>0</v>
      </c>
      <c r="D9" s="181">
        <v>45882.0</v>
      </c>
      <c r="E9" s="180" t="s">
        <v>213</v>
      </c>
      <c r="F9" s="180">
        <f t="shared" si="3"/>
        <v>0</v>
      </c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</row>
    <row r="10">
      <c r="A10" s="179">
        <f>IF(and(D10&gt;='TTP Tracker 26'!$C$3,D10&lt;'TTP Tracker 26'!$C$4),1,0)</f>
        <v>1</v>
      </c>
      <c r="B10" s="180">
        <f>if(and(D10&gt;TODAY(),D10&lt;'TTP Tracker 26'!$C$4),1,0)</f>
        <v>0</v>
      </c>
      <c r="C10" s="180">
        <f>if('TTP Tracker 26'!$B$2="MONTHLY TOTAL",$A10,$B10)</f>
        <v>0</v>
      </c>
      <c r="D10" s="181">
        <v>45883.0</v>
      </c>
      <c r="E10" s="180" t="s">
        <v>207</v>
      </c>
      <c r="F10" s="180">
        <f t="shared" si="3"/>
        <v>0</v>
      </c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</row>
    <row r="11">
      <c r="A11" s="179">
        <f>IF(and(D11&gt;='TTP Tracker 26'!$C$3,D11&lt;'TTP Tracker 26'!$C$4),1,0)</f>
        <v>1</v>
      </c>
      <c r="B11" s="180">
        <f>if(and(D11&gt;TODAY(),D11&lt;'TTP Tracker 26'!$C$4),1,0)</f>
        <v>0</v>
      </c>
      <c r="C11" s="180">
        <f>if('TTP Tracker 26'!$B$2="MONTHLY TOTAL",$A11,$B11)</f>
        <v>0</v>
      </c>
      <c r="D11" s="181">
        <v>45884.0</v>
      </c>
      <c r="E11" s="180" t="s">
        <v>208</v>
      </c>
      <c r="F11" s="180">
        <f t="shared" si="3"/>
        <v>0</v>
      </c>
      <c r="G11" s="180"/>
      <c r="H11" s="180"/>
      <c r="I11" s="180">
        <f>if('TTP Tracker 26'!$B$2="MONTHLY TOTAL",$A11,$B11)</f>
        <v>0</v>
      </c>
      <c r="J11" s="180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</row>
    <row r="12">
      <c r="A12" s="179">
        <f>IF(and(D12&gt;='TTP Tracker 26'!$C$3,D12&lt;'TTP Tracker 26'!$C$4),1,0)</f>
        <v>1</v>
      </c>
      <c r="B12" s="180">
        <f>if(and(D12&gt;TODAY(),D12&lt;'TTP Tracker 26'!$C$4),1,0)</f>
        <v>0</v>
      </c>
      <c r="C12" s="180">
        <f>if('TTP Tracker 26'!$B$2="MONTHLY TOTAL",$A12,$B12)</f>
        <v>0</v>
      </c>
      <c r="D12" s="181">
        <v>45885.0</v>
      </c>
      <c r="E12" s="180" t="s">
        <v>209</v>
      </c>
      <c r="F12" s="180">
        <f t="shared" si="3"/>
        <v>0</v>
      </c>
      <c r="G12" s="177"/>
      <c r="H12" s="177"/>
      <c r="I12" s="177"/>
      <c r="J12" s="177"/>
      <c r="K12" s="177"/>
      <c r="L12" s="177"/>
      <c r="M12" s="177"/>
      <c r="N12" s="180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</row>
    <row r="13">
      <c r="A13" s="179">
        <f>IF(and(D13&gt;='TTP Tracker 26'!$C$3,D13&lt;'TTP Tracker 26'!$C$4),1,0)</f>
        <v>1</v>
      </c>
      <c r="B13" s="180">
        <f>if(and(D13&gt;TODAY(),D13&lt;'TTP Tracker 26'!$C$4),1,0)</f>
        <v>0</v>
      </c>
      <c r="C13" s="180">
        <f>if('TTP Tracker 26'!$B$2="MONTHLY TOTAL",$A13,$B13)</f>
        <v>0</v>
      </c>
      <c r="D13" s="181">
        <v>45886.0</v>
      </c>
      <c r="E13" s="180" t="s">
        <v>210</v>
      </c>
      <c r="F13" s="180">
        <f t="shared" si="3"/>
        <v>0</v>
      </c>
      <c r="H13" s="180"/>
      <c r="I13" s="180"/>
      <c r="J13" s="180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</row>
    <row r="14">
      <c r="A14" s="179">
        <f>IF(and(D14&gt;='TTP Tracker 26'!$C$3,D14&lt;'TTP Tracker 26'!$C$4),1,0)</f>
        <v>1</v>
      </c>
      <c r="B14" s="180">
        <f>if(and(D14&gt;TODAY(),D14&lt;'TTP Tracker 26'!$C$4),1,0)</f>
        <v>0</v>
      </c>
      <c r="C14" s="180">
        <f>if('TTP Tracker 26'!$B$2="MONTHLY TOTAL",$A14,$B14)</f>
        <v>0</v>
      </c>
      <c r="D14" s="181">
        <v>45887.0</v>
      </c>
      <c r="E14" s="180" t="s">
        <v>211</v>
      </c>
      <c r="F14" s="180">
        <f>if(E14="Monday",1,0)*if(C14=1,1,0)</f>
        <v>0</v>
      </c>
      <c r="G14" s="177"/>
      <c r="H14" s="177"/>
      <c r="I14" s="177"/>
      <c r="J14" s="177"/>
      <c r="K14" s="177"/>
      <c r="L14" s="177"/>
      <c r="M14" s="180">
        <f>if('TTP Tracker 26'!$B$2="MONTHLY TOTAL",$A14,$B14)</f>
        <v>0</v>
      </c>
      <c r="N14" s="180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</row>
    <row r="15">
      <c r="A15" s="179">
        <f>IF(and(D15&gt;='TTP Tracker 26'!$C$3,D15&lt;'TTP Tracker 26'!$C$4),1,0)</f>
        <v>1</v>
      </c>
      <c r="B15" s="180">
        <f>if(and(D15&gt;TODAY(),D15&lt;'TTP Tracker 26'!$C$4),1,0)</f>
        <v>0</v>
      </c>
      <c r="C15" s="180">
        <f>if('TTP Tracker 26'!$B$2="MONTHLY TOTAL",$A15,$B15)</f>
        <v>0</v>
      </c>
      <c r="D15" s="181">
        <v>45888.0</v>
      </c>
      <c r="E15" s="180" t="s">
        <v>212</v>
      </c>
      <c r="F15" s="180">
        <f t="shared" ref="F15:F20" si="4">if(E15="Monday",1,0)*if(A15=1,1,0)</f>
        <v>0</v>
      </c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</row>
    <row r="16">
      <c r="A16" s="179">
        <f>IF(and(D16&gt;='TTP Tracker 26'!$C$3,D16&lt;'TTP Tracker 26'!$C$4),1,0)</f>
        <v>1</v>
      </c>
      <c r="B16" s="180">
        <f>if(and(D16&gt;TODAY(),D16&lt;'TTP Tracker 26'!$C$4),1,0)</f>
        <v>0</v>
      </c>
      <c r="C16" s="180">
        <f>if('TTP Tracker 26'!$B$2="MONTHLY TOTAL",$A16,$B16)</f>
        <v>0</v>
      </c>
      <c r="D16" s="181">
        <v>45889.0</v>
      </c>
      <c r="E16" s="180" t="s">
        <v>213</v>
      </c>
      <c r="F16" s="180">
        <f t="shared" si="4"/>
        <v>0</v>
      </c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</row>
    <row r="17">
      <c r="A17" s="179">
        <f>IF(and(D17&gt;='TTP Tracker 26'!$C$3,D17&lt;'TTP Tracker 26'!$C$4),1,0)</f>
        <v>1</v>
      </c>
      <c r="B17" s="180">
        <f>if(and(D17&gt;TODAY(),D17&lt;'TTP Tracker 26'!$C$4),1,0)</f>
        <v>0</v>
      </c>
      <c r="C17" s="180">
        <f>if('TTP Tracker 26'!$B$2="MONTHLY TOTAL",$A17,$B17)</f>
        <v>0</v>
      </c>
      <c r="D17" s="181">
        <v>45890.0</v>
      </c>
      <c r="E17" s="180" t="s">
        <v>207</v>
      </c>
      <c r="F17" s="180">
        <f t="shared" si="4"/>
        <v>0</v>
      </c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</row>
    <row r="18">
      <c r="A18" s="179">
        <f>IF(and(D18&gt;='TTP Tracker 26'!$C$3,D18&lt;'TTP Tracker 26'!$C$4),1,0)</f>
        <v>1</v>
      </c>
      <c r="B18" s="180">
        <f>if(and(D18&gt;TODAY(),D18&lt;'TTP Tracker 26'!$C$4),1,0)</f>
        <v>0</v>
      </c>
      <c r="C18" s="180">
        <f>if('TTP Tracker 26'!$B$2="MONTHLY TOTAL",$A18,$B18)</f>
        <v>0</v>
      </c>
      <c r="D18" s="181">
        <v>45891.0</v>
      </c>
      <c r="E18" s="180" t="s">
        <v>208</v>
      </c>
      <c r="F18" s="180">
        <f t="shared" si="4"/>
        <v>0</v>
      </c>
      <c r="G18" s="180">
        <f>if('TTP Tracker 26'!$B$2="MONTHLY TOTAL",$A18,$B18)</f>
        <v>0</v>
      </c>
      <c r="H18" s="180"/>
      <c r="I18" s="180"/>
      <c r="J18" s="180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</row>
    <row r="19">
      <c r="A19" s="179">
        <f>IF(and(D19&gt;='TTP Tracker 26'!$C$3,D19&lt;'TTP Tracker 26'!$C$4),1,0)</f>
        <v>1</v>
      </c>
      <c r="B19" s="180">
        <f>if(and(D19&gt;TODAY(),D19&lt;'TTP Tracker 26'!$C$4),1,0)</f>
        <v>0</v>
      </c>
      <c r="C19" s="180">
        <f>if('TTP Tracker 26'!$B$2="MONTHLY TOTAL",$A19,$B19)</f>
        <v>0</v>
      </c>
      <c r="D19" s="181">
        <v>45892.0</v>
      </c>
      <c r="E19" s="180" t="s">
        <v>209</v>
      </c>
      <c r="F19" s="180">
        <f t="shared" si="4"/>
        <v>0</v>
      </c>
      <c r="G19" s="177"/>
      <c r="H19" s="177"/>
      <c r="I19" s="177"/>
      <c r="J19" s="177"/>
      <c r="K19" s="180">
        <f>if('TTP Tracker 26'!$B$2="MONTHLY TOTAL",$A19,$B19)</f>
        <v>0</v>
      </c>
      <c r="L19" s="180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</row>
    <row r="20">
      <c r="A20" s="179">
        <f>IF(and(D20&gt;='TTP Tracker 26'!$C$3,D20&lt;'TTP Tracker 26'!$C$4),1,0)</f>
        <v>1</v>
      </c>
      <c r="B20" s="180">
        <f>if(and(D20&gt;TODAY(),D20&lt;'TTP Tracker 26'!$C$4),1,0)</f>
        <v>0</v>
      </c>
      <c r="C20" s="180">
        <f>if('TTP Tracker 26'!$B$2="MONTHLY TOTAL",$A20,$B20)</f>
        <v>0</v>
      </c>
      <c r="D20" s="181">
        <v>45893.0</v>
      </c>
      <c r="E20" s="180" t="s">
        <v>210</v>
      </c>
      <c r="F20" s="180">
        <f t="shared" si="4"/>
        <v>0</v>
      </c>
      <c r="G20" s="180"/>
      <c r="H20" s="180"/>
      <c r="I20" s="180"/>
      <c r="J20" s="180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</row>
    <row r="21">
      <c r="A21" s="179">
        <f>IF(and(D21&gt;='TTP Tracker 26'!$C$3,D21&lt;'TTP Tracker 26'!$C$4),1,0)</f>
        <v>1</v>
      </c>
      <c r="B21" s="180">
        <f>if(and(D21&gt;TODAY(),D21&lt;'TTP Tracker 26'!$C$4),1,0)</f>
        <v>0</v>
      </c>
      <c r="C21" s="180">
        <f>if('TTP Tracker 26'!$B$2="MONTHLY TOTAL",$A21,$B21)</f>
        <v>0</v>
      </c>
      <c r="D21" s="181">
        <v>45894.0</v>
      </c>
      <c r="E21" s="180" t="s">
        <v>211</v>
      </c>
      <c r="F21" s="180">
        <f>if(E21="Monday",1,0)*if(C21=1,1,0)</f>
        <v>0</v>
      </c>
      <c r="G21" s="177"/>
      <c r="H21" s="177"/>
      <c r="I21" s="177"/>
      <c r="J21" s="177"/>
      <c r="L21" s="180">
        <f>if('TTP Tracker 26'!$B$2="MONTHLY TOTAL",$A21,$B21)</f>
        <v>0</v>
      </c>
      <c r="M21" s="180">
        <f>if('TTP Tracker 26'!$B$2="MONTHLY TOTAL",$A21,$B21)</f>
        <v>0</v>
      </c>
      <c r="N21" s="180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</row>
    <row r="22">
      <c r="A22" s="179">
        <f>IF(and(D22&gt;='TTP Tracker 26'!$C$3,D22&lt;'TTP Tracker 26'!$C$4),1,0)</f>
        <v>1</v>
      </c>
      <c r="B22" s="180">
        <f>if(and(D22&gt;TODAY(),D22&lt;'TTP Tracker 26'!$C$4),1,0)</f>
        <v>0</v>
      </c>
      <c r="C22" s="180">
        <f>if('TTP Tracker 26'!$B$2="MONTHLY TOTAL",$A22,$B22)</f>
        <v>0</v>
      </c>
      <c r="D22" s="181">
        <v>45895.0</v>
      </c>
      <c r="E22" s="180" t="s">
        <v>212</v>
      </c>
      <c r="F22" s="180">
        <f t="shared" ref="F22:F27" si="5">if(E22="Monday",1,0)*if(A22=1,1,0)</f>
        <v>0</v>
      </c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</row>
    <row r="23">
      <c r="A23" s="179">
        <f>IF(and(D23&gt;='TTP Tracker 26'!$C$3,D23&lt;'TTP Tracker 26'!$C$4),1,0)</f>
        <v>1</v>
      </c>
      <c r="B23" s="180">
        <f>if(and(D23&gt;TODAY(),D23&lt;'TTP Tracker 26'!$C$4),1,0)</f>
        <v>0</v>
      </c>
      <c r="C23" s="180">
        <f>if('TTP Tracker 26'!$B$2="MONTHLY TOTAL",$A23,$B23)</f>
        <v>0</v>
      </c>
      <c r="D23" s="181">
        <v>45896.0</v>
      </c>
      <c r="E23" s="180" t="s">
        <v>213</v>
      </c>
      <c r="F23" s="180">
        <f t="shared" si="5"/>
        <v>0</v>
      </c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</row>
    <row r="24">
      <c r="A24" s="179">
        <f>IF(and(D24&gt;='TTP Tracker 26'!$C$3,D24&lt;'TTP Tracker 26'!$C$4),1,0)</f>
        <v>1</v>
      </c>
      <c r="B24" s="180">
        <f>if(and(D24&gt;TODAY(),D24&lt;'TTP Tracker 26'!$C$4),1,0)</f>
        <v>0</v>
      </c>
      <c r="C24" s="180">
        <f>if('TTP Tracker 26'!$B$2="MONTHLY TOTAL",$A24,$B24)</f>
        <v>0</v>
      </c>
      <c r="D24" s="181">
        <v>45897.0</v>
      </c>
      <c r="E24" s="180" t="s">
        <v>207</v>
      </c>
      <c r="F24" s="180">
        <f t="shared" si="5"/>
        <v>0</v>
      </c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</row>
    <row r="25">
      <c r="A25" s="179">
        <f>IF(and(D25&gt;='TTP Tracker 26'!$C$3,D25&lt;'TTP Tracker 26'!$C$4),1,0)</f>
        <v>1</v>
      </c>
      <c r="B25" s="180">
        <f>if(and(D25&gt;TODAY(),D25&lt;'TTP Tracker 26'!$C$4),1,0)</f>
        <v>0</v>
      </c>
      <c r="C25" s="180">
        <f>if('TTP Tracker 26'!$B$2="MONTHLY TOTAL",$A25,$B25)</f>
        <v>0</v>
      </c>
      <c r="D25" s="181">
        <v>45898.0</v>
      </c>
      <c r="E25" s="180" t="s">
        <v>208</v>
      </c>
      <c r="F25" s="180">
        <f t="shared" si="5"/>
        <v>0</v>
      </c>
      <c r="G25" s="180"/>
      <c r="H25" s="180"/>
      <c r="I25" s="180">
        <f>if('TTP Tracker 26'!$B$2="MONTHLY TOTAL",$A25,$B25)</f>
        <v>0</v>
      </c>
      <c r="J25" s="180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</row>
    <row r="26">
      <c r="A26" s="179">
        <f>IF(and(D26&gt;='TTP Tracker 26'!$C$3,D26&lt;'TTP Tracker 26'!$C$4),1,0)</f>
        <v>1</v>
      </c>
      <c r="B26" s="180">
        <f>if(and(D26&gt;TODAY(),D26&lt;'TTP Tracker 26'!$C$4),1,0)</f>
        <v>0</v>
      </c>
      <c r="C26" s="180">
        <f>if('TTP Tracker 26'!$B$2="MONTHLY TOTAL",$A26,$B26)</f>
        <v>0</v>
      </c>
      <c r="D26" s="181">
        <v>45899.0</v>
      </c>
      <c r="E26" s="180" t="s">
        <v>209</v>
      </c>
      <c r="F26" s="180">
        <f t="shared" si="5"/>
        <v>0</v>
      </c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</row>
    <row r="27">
      <c r="A27" s="179">
        <f>IF(and(D27&gt;='TTP Tracker 26'!$C$3,D27&lt;'TTP Tracker 26'!$C$4),1,0)</f>
        <v>1</v>
      </c>
      <c r="B27" s="180">
        <f>if(and(D27&gt;TODAY(),D27&lt;'TTP Tracker 26'!$C$4),1,0)</f>
        <v>0</v>
      </c>
      <c r="C27" s="180">
        <f>if('TTP Tracker 26'!$B$2="MONTHLY TOTAL",$A27,$B27)</f>
        <v>0</v>
      </c>
      <c r="D27" s="181">
        <v>45900.0</v>
      </c>
      <c r="E27" s="180" t="s">
        <v>210</v>
      </c>
      <c r="F27" s="180">
        <f t="shared" si="5"/>
        <v>0</v>
      </c>
      <c r="H27" s="180"/>
      <c r="I27" s="180"/>
      <c r="J27" s="180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</row>
    <row r="28">
      <c r="A28" s="179">
        <f>IF(and(D28&gt;='TTP Tracker 26'!$C$3,D28&lt;'TTP Tracker 26'!$C$4),1,0)</f>
        <v>1</v>
      </c>
      <c r="B28" s="180">
        <f>if(and(D28&gt;TODAY(),D28&lt;'TTP Tracker 26'!$C$4),1,0)</f>
        <v>0</v>
      </c>
      <c r="C28" s="180">
        <f>if('TTP Tracker 26'!$B$2="MONTHLY TOTAL",$A28,$B28)</f>
        <v>0</v>
      </c>
      <c r="D28" s="181">
        <v>45901.0</v>
      </c>
      <c r="E28" s="180" t="s">
        <v>211</v>
      </c>
      <c r="F28" s="180">
        <f>if(E28="Monday",1,0)*if(C28=1,1,0)</f>
        <v>0</v>
      </c>
      <c r="G28" s="177"/>
      <c r="H28" s="177"/>
      <c r="I28" s="177"/>
      <c r="J28" s="177"/>
      <c r="K28" s="177"/>
      <c r="L28" s="177"/>
      <c r="M28" s="180">
        <f>if('TTP Tracker 26'!$B$2="MONTHLY TOTAL",$A28,$B28)</f>
        <v>0</v>
      </c>
      <c r="N28" s="180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</row>
    <row r="29">
      <c r="A29" s="179">
        <f>IF(and(D29&gt;='TTP Tracker 26'!$C$3,D29&lt;'TTP Tracker 26'!$C$4),1,0)</f>
        <v>1</v>
      </c>
      <c r="B29" s="180">
        <f>if(and(D29&gt;TODAY(),D29&lt;'TTP Tracker 26'!$C$4),1,0)</f>
        <v>0</v>
      </c>
      <c r="C29" s="180">
        <f>if('TTP Tracker 26'!$B$2="MONTHLY TOTAL",$A29,$B29)</f>
        <v>0</v>
      </c>
      <c r="D29" s="181">
        <v>45902.0</v>
      </c>
      <c r="E29" s="180" t="s">
        <v>212</v>
      </c>
      <c r="F29" s="180">
        <f t="shared" ref="F29:F34" si="6">if(E29="Monday",1,0)*if(A29=1,1,0)</f>
        <v>0</v>
      </c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</row>
    <row r="30">
      <c r="A30" s="179">
        <f>IF(and(D30&gt;='TTP Tracker 26'!$C$3,D30&lt;'TTP Tracker 26'!$C$4),1,0)</f>
        <v>1</v>
      </c>
      <c r="B30" s="180">
        <f>if(and(D30&gt;TODAY(),D30&lt;'TTP Tracker 26'!$C$4),1,0)</f>
        <v>0</v>
      </c>
      <c r="C30" s="180">
        <f>if('TTP Tracker 26'!$B$2="MONTHLY TOTAL",$A30,$B30)</f>
        <v>0</v>
      </c>
      <c r="D30" s="181">
        <v>45903.0</v>
      </c>
      <c r="E30" s="180" t="s">
        <v>213</v>
      </c>
      <c r="F30" s="180">
        <f t="shared" si="6"/>
        <v>0</v>
      </c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</row>
    <row r="31">
      <c r="A31" s="179">
        <f>IF(and(D31&gt;='TTP Tracker 26'!$C$3,D31&lt;'TTP Tracker 26'!$C$4),1,0)</f>
        <v>1</v>
      </c>
      <c r="B31" s="180">
        <f>if(and(D31&gt;TODAY(),D31&lt;'TTP Tracker 26'!$C$4),1,0)</f>
        <v>0</v>
      </c>
      <c r="C31" s="180">
        <f>if('TTP Tracker 26'!$B$2="MONTHLY TOTAL",$A31,$B31)</f>
        <v>0</v>
      </c>
      <c r="D31" s="181">
        <v>45904.0</v>
      </c>
      <c r="E31" s="180" t="s">
        <v>207</v>
      </c>
      <c r="F31" s="180">
        <f t="shared" si="6"/>
        <v>0</v>
      </c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</row>
    <row r="32">
      <c r="A32" s="179">
        <f>IF(and(D32&gt;='TTP Tracker 26'!$C$3,D32&lt;'TTP Tracker 26'!$C$4),1,0)</f>
        <v>1</v>
      </c>
      <c r="B32" s="180">
        <f>if(and(D32&gt;TODAY(),D32&lt;'TTP Tracker 26'!$C$4),1,0)</f>
        <v>0</v>
      </c>
      <c r="C32" s="180">
        <f>if('TTP Tracker 26'!$B$2="MONTHLY TOTAL",$A32,$B32)</f>
        <v>0</v>
      </c>
      <c r="D32" s="181">
        <v>45905.0</v>
      </c>
      <c r="E32" s="180" t="s">
        <v>208</v>
      </c>
      <c r="F32" s="180">
        <f t="shared" si="6"/>
        <v>0</v>
      </c>
      <c r="G32" s="180">
        <f>if('TTP Tracker 26'!$B$2="MONTHLY TOTAL",$A32,$B32)</f>
        <v>0</v>
      </c>
      <c r="H32" s="180"/>
      <c r="I32" s="180"/>
      <c r="J32" s="180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</row>
    <row r="33">
      <c r="A33" s="179">
        <f>IF(and(D33&gt;='TTP Tracker 26'!$C$3,D33&lt;'TTP Tracker 26'!$C$4),1,0)</f>
        <v>1</v>
      </c>
      <c r="B33" s="180">
        <f>if(and(D33&gt;TODAY(),D33&lt;'TTP Tracker 26'!$C$4),1,0)</f>
        <v>0</v>
      </c>
      <c r="C33" s="180">
        <f>if('TTP Tracker 26'!$B$2="MONTHLY TOTAL",$A33,$B33)</f>
        <v>0</v>
      </c>
      <c r="D33" s="181">
        <v>45906.0</v>
      </c>
      <c r="E33" s="180" t="s">
        <v>209</v>
      </c>
      <c r="F33" s="180">
        <f t="shared" si="6"/>
        <v>0</v>
      </c>
      <c r="G33" s="177"/>
      <c r="H33" s="177"/>
      <c r="I33" s="177"/>
      <c r="J33" s="177"/>
      <c r="K33" s="180">
        <f>if('TTP Tracker 26'!$B$2="MONTHLY TOTAL",$A33,$B33)</f>
        <v>0</v>
      </c>
      <c r="L33" s="180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</row>
    <row r="34">
      <c r="A34" s="179">
        <f>IF(and(D34&gt;='TTP Tracker 26'!$C$3,D34&lt;'TTP Tracker 26'!$C$4),1,0)</f>
        <v>1</v>
      </c>
      <c r="B34" s="180">
        <f>if(and(D34&gt;TODAY(),D34&lt;'TTP Tracker 26'!$C$4),1,0)</f>
        <v>0</v>
      </c>
      <c r="C34" s="180">
        <f>if('TTP Tracker 26'!$B$2="MONTHLY TOTAL",$A34,$B34)</f>
        <v>0</v>
      </c>
      <c r="D34" s="181">
        <v>45907.0</v>
      </c>
      <c r="E34" s="180" t="s">
        <v>210</v>
      </c>
      <c r="F34" s="180">
        <f t="shared" si="6"/>
        <v>0</v>
      </c>
      <c r="G34" s="180"/>
      <c r="H34" s="180"/>
      <c r="I34" s="180"/>
      <c r="J34" s="180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</row>
    <row r="35">
      <c r="A35" s="179">
        <f>IF(and(D35&gt;='TTP Tracker 26'!$C$3,D35&lt;'TTP Tracker 26'!$C$4),1,0)</f>
        <v>0</v>
      </c>
      <c r="B35" s="180">
        <f>if(and(D35&gt;TODAY(),D35&lt;'TTP Tracker 26'!$C$4),1,0)</f>
        <v>0</v>
      </c>
      <c r="C35" s="180">
        <f>if('TTP Tracker 26'!$B$2="MONTHLY TOTAL",$A35,$B35)</f>
        <v>0</v>
      </c>
      <c r="D35" s="181">
        <v>45908.0</v>
      </c>
      <c r="E35" s="180" t="s">
        <v>211</v>
      </c>
      <c r="F35" s="180">
        <f t="shared" ref="F35:F376" si="7">if(E35="Monday",1,0)*if(C35=1,1,0)</f>
        <v>0</v>
      </c>
      <c r="G35" s="177"/>
      <c r="H35" s="177"/>
      <c r="I35" s="177"/>
      <c r="J35" s="177"/>
      <c r="L35" s="180">
        <f>if('TTP Tracker 26'!$B$2="MONTHLY TOTAL",$A35,$B35)</f>
        <v>0</v>
      </c>
      <c r="M35" s="180">
        <f>if('TTP Tracker 26'!$B$2="MONTHLY TOTAL",$A35,$B35)</f>
        <v>0</v>
      </c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</row>
    <row r="36">
      <c r="A36" s="179">
        <f>IF(and(D36&gt;='TTP Tracker 26'!$C$3,D36&lt;'TTP Tracker 26'!$C$4),1,0)</f>
        <v>0</v>
      </c>
      <c r="B36" s="180">
        <f>if(and(D36&gt;TODAY(),D36&lt;'TTP Tracker 26'!$C$4),1,0)</f>
        <v>0</v>
      </c>
      <c r="C36" s="180">
        <f>if('TTP Tracker 26'!$B$2="MONTHLY TOTAL",$A36,$B36)</f>
        <v>0</v>
      </c>
      <c r="D36" s="181">
        <v>45909.0</v>
      </c>
      <c r="E36" s="180" t="s">
        <v>212</v>
      </c>
      <c r="F36" s="180">
        <f t="shared" si="7"/>
        <v>0</v>
      </c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</row>
    <row r="37">
      <c r="A37" s="179">
        <f>IF(and(D37&gt;='TTP Tracker 26'!$C$3,D37&lt;'TTP Tracker 26'!$C$4),1,0)</f>
        <v>0</v>
      </c>
      <c r="B37" s="180">
        <f>if(and(D37&gt;TODAY(),D37&lt;'TTP Tracker 26'!$C$4),1,0)</f>
        <v>0</v>
      </c>
      <c r="C37" s="180">
        <f>if('TTP Tracker 26'!$B$2="MONTHLY TOTAL",$A37,$B37)</f>
        <v>0</v>
      </c>
      <c r="D37" s="181">
        <v>45910.0</v>
      </c>
      <c r="E37" s="180" t="s">
        <v>213</v>
      </c>
      <c r="F37" s="180">
        <f t="shared" si="7"/>
        <v>0</v>
      </c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</row>
    <row r="38">
      <c r="A38" s="179">
        <f>IF(and(D38&gt;='TTP Tracker 26'!$C$3,D38&lt;'TTP Tracker 26'!$C$4),1,0)</f>
        <v>0</v>
      </c>
      <c r="B38" s="180">
        <f>if(and(D38&gt;TODAY(),D38&lt;'TTP Tracker 26'!$C$4),1,0)</f>
        <v>0</v>
      </c>
      <c r="C38" s="180">
        <f>if('TTP Tracker 26'!$B$2="MONTHLY TOTAL",$A38,$B38)</f>
        <v>0</v>
      </c>
      <c r="D38" s="181">
        <v>45911.0</v>
      </c>
      <c r="E38" s="180" t="s">
        <v>207</v>
      </c>
      <c r="F38" s="180">
        <f t="shared" si="7"/>
        <v>0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</row>
    <row r="39">
      <c r="A39" s="179">
        <f>IF(and(D39&gt;='TTP Tracker 26'!$C$3,D39&lt;'TTP Tracker 26'!$C$4),1,0)</f>
        <v>0</v>
      </c>
      <c r="B39" s="180">
        <f>if(and(D39&gt;TODAY(),D39&lt;'TTP Tracker 26'!$C$4),1,0)</f>
        <v>0</v>
      </c>
      <c r="C39" s="180">
        <f>if('TTP Tracker 26'!$B$2="MONTHLY TOTAL",$A39,$B39)</f>
        <v>0</v>
      </c>
      <c r="D39" s="181">
        <v>45912.0</v>
      </c>
      <c r="E39" s="180" t="s">
        <v>208</v>
      </c>
      <c r="F39" s="180">
        <f t="shared" si="7"/>
        <v>0</v>
      </c>
      <c r="G39" s="180"/>
      <c r="H39" s="180"/>
      <c r="I39" s="180">
        <f>if('TTP Tracker 26'!$B$2="MONTHLY TOTAL",$A39,$B39)</f>
        <v>0</v>
      </c>
      <c r="J39" s="180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</row>
    <row r="40">
      <c r="A40" s="179">
        <f>IF(and(D40&gt;='TTP Tracker 26'!$C$3,D40&lt;'TTP Tracker 26'!$C$4),1,0)</f>
        <v>0</v>
      </c>
      <c r="B40" s="180">
        <f>if(and(D40&gt;TODAY(),D40&lt;'TTP Tracker 26'!$C$4),1,0)</f>
        <v>0</v>
      </c>
      <c r="C40" s="180">
        <f>if('TTP Tracker 26'!$B$2="MONTHLY TOTAL",$A40,$B40)</f>
        <v>0</v>
      </c>
      <c r="D40" s="181">
        <v>45913.0</v>
      </c>
      <c r="E40" s="180" t="s">
        <v>209</v>
      </c>
      <c r="F40" s="180">
        <f t="shared" si="7"/>
        <v>0</v>
      </c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</row>
    <row r="41">
      <c r="A41" s="179">
        <f>IF(and(D41&gt;='TTP Tracker 26'!$C$3,D41&lt;'TTP Tracker 26'!$C$4),1,0)</f>
        <v>0</v>
      </c>
      <c r="B41" s="180">
        <f>if(and(D41&gt;TODAY(),D41&lt;'TTP Tracker 26'!$C$4),1,0)</f>
        <v>0</v>
      </c>
      <c r="C41" s="180">
        <f>if('TTP Tracker 26'!$B$2="MONTHLY TOTAL",$A41,$B41)</f>
        <v>0</v>
      </c>
      <c r="D41" s="181">
        <v>45914.0</v>
      </c>
      <c r="E41" s="180" t="s">
        <v>210</v>
      </c>
      <c r="F41" s="180">
        <f t="shared" si="7"/>
        <v>0</v>
      </c>
      <c r="H41" s="180"/>
      <c r="I41" s="180"/>
      <c r="J41" s="180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</row>
    <row r="42">
      <c r="A42" s="179">
        <f>IF(and(D42&gt;='TTP Tracker 26'!$C$3,D42&lt;'TTP Tracker 26'!$C$4),1,0)</f>
        <v>0</v>
      </c>
      <c r="B42" s="180">
        <f>if(and(D42&gt;TODAY(),D42&lt;'TTP Tracker 26'!$C$4),1,0)</f>
        <v>0</v>
      </c>
      <c r="C42" s="180">
        <f>if('TTP Tracker 26'!$B$2="MONTHLY TOTAL",$A42,$B42)</f>
        <v>0</v>
      </c>
      <c r="D42" s="181">
        <v>45915.0</v>
      </c>
      <c r="E42" s="180" t="s">
        <v>211</v>
      </c>
      <c r="F42" s="180">
        <f t="shared" si="7"/>
        <v>0</v>
      </c>
      <c r="G42" s="177"/>
      <c r="H42" s="177"/>
      <c r="I42" s="177"/>
      <c r="J42" s="177"/>
      <c r="K42" s="177"/>
      <c r="L42" s="177"/>
      <c r="M42" s="180">
        <f>if('TTP Tracker 26'!$B$2="MONTHLY TOTAL",$A42,$B42)</f>
        <v>0</v>
      </c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</row>
    <row r="43">
      <c r="A43" s="179">
        <f>IF(and(D43&gt;='TTP Tracker 26'!$C$3,D43&lt;'TTP Tracker 26'!$C$4),1,0)</f>
        <v>0</v>
      </c>
      <c r="B43" s="180">
        <f>if(and(D43&gt;TODAY(),D43&lt;'TTP Tracker 26'!$C$4),1,0)</f>
        <v>0</v>
      </c>
      <c r="C43" s="180">
        <f>if('TTP Tracker 26'!$B$2="MONTHLY TOTAL",$A43,$B43)</f>
        <v>0</v>
      </c>
      <c r="D43" s="181">
        <v>45916.0</v>
      </c>
      <c r="E43" s="180" t="s">
        <v>212</v>
      </c>
      <c r="F43" s="180">
        <f t="shared" si="7"/>
        <v>0</v>
      </c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</row>
    <row r="44">
      <c r="A44" s="179">
        <f>IF(and(D44&gt;='TTP Tracker 26'!$C$3,D44&lt;'TTP Tracker 26'!$C$4),1,0)</f>
        <v>0</v>
      </c>
      <c r="B44" s="180">
        <f>if(and(D44&gt;TODAY(),D44&lt;'TTP Tracker 26'!$C$4),1,0)</f>
        <v>0</v>
      </c>
      <c r="C44" s="180">
        <f>if('TTP Tracker 26'!$B$2="MONTHLY TOTAL",$A44,$B44)</f>
        <v>0</v>
      </c>
      <c r="D44" s="181">
        <v>45917.0</v>
      </c>
      <c r="E44" s="180" t="s">
        <v>213</v>
      </c>
      <c r="F44" s="180">
        <f t="shared" si="7"/>
        <v>0</v>
      </c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</row>
    <row r="45">
      <c r="A45" s="179">
        <f>IF(and(D45&gt;='TTP Tracker 26'!$C$3,D45&lt;'TTP Tracker 26'!$C$4),1,0)</f>
        <v>0</v>
      </c>
      <c r="B45" s="180">
        <f>if(and(D45&gt;TODAY(),D45&lt;'TTP Tracker 26'!$C$4),1,0)</f>
        <v>0</v>
      </c>
      <c r="C45" s="180">
        <f>if('TTP Tracker 26'!$B$2="MONTHLY TOTAL",$A45,$B45)</f>
        <v>0</v>
      </c>
      <c r="D45" s="181">
        <v>45918.0</v>
      </c>
      <c r="E45" s="180" t="s">
        <v>207</v>
      </c>
      <c r="F45" s="180">
        <f t="shared" si="7"/>
        <v>0</v>
      </c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</row>
    <row r="46">
      <c r="A46" s="179">
        <f>IF(and(D46&gt;='TTP Tracker 26'!$C$3,D46&lt;'TTP Tracker 26'!$C$4),1,0)</f>
        <v>0</v>
      </c>
      <c r="B46" s="180">
        <f>if(and(D46&gt;TODAY(),D46&lt;'TTP Tracker 26'!$C$4),1,0)</f>
        <v>0</v>
      </c>
      <c r="C46" s="180">
        <f>if('TTP Tracker 26'!$B$2="MONTHLY TOTAL",$A46,$B46)</f>
        <v>0</v>
      </c>
      <c r="D46" s="181">
        <v>45919.0</v>
      </c>
      <c r="E46" s="180" t="s">
        <v>208</v>
      </c>
      <c r="F46" s="180">
        <f t="shared" si="7"/>
        <v>0</v>
      </c>
      <c r="G46" s="180">
        <f>if('TTP Tracker 26'!$B$2="MONTHLY TOTAL",$A46,$B46)</f>
        <v>0</v>
      </c>
      <c r="H46" s="180"/>
      <c r="I46" s="180"/>
      <c r="J46" s="180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</row>
    <row r="47">
      <c r="A47" s="179">
        <f>IF(and(D47&gt;='TTP Tracker 26'!$C$3,D47&lt;'TTP Tracker 26'!$C$4),1,0)</f>
        <v>0</v>
      </c>
      <c r="B47" s="180">
        <f>if(and(D47&gt;TODAY(),D47&lt;'TTP Tracker 26'!$C$4),1,0)</f>
        <v>0</v>
      </c>
      <c r="C47" s="180">
        <f>if('TTP Tracker 26'!$B$2="MONTHLY TOTAL",$A47,$B47)</f>
        <v>0</v>
      </c>
      <c r="D47" s="181">
        <v>45920.0</v>
      </c>
      <c r="E47" s="180" t="s">
        <v>209</v>
      </c>
      <c r="F47" s="180">
        <f t="shared" si="7"/>
        <v>0</v>
      </c>
      <c r="G47" s="177"/>
      <c r="H47" s="177"/>
      <c r="I47" s="177"/>
      <c r="J47" s="177"/>
      <c r="K47" s="180">
        <f>if('TTP Tracker 26'!$B$2="MONTHLY TOTAL",$A47,$B47)</f>
        <v>0</v>
      </c>
      <c r="L47" s="180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</row>
    <row r="48">
      <c r="A48" s="179">
        <f>IF(and(D48&gt;='TTP Tracker 26'!$C$3,D48&lt;'TTP Tracker 26'!$C$4),1,0)</f>
        <v>0</v>
      </c>
      <c r="B48" s="180">
        <f>if(and(D48&gt;TODAY(),D48&lt;'TTP Tracker 26'!$C$4),1,0)</f>
        <v>0</v>
      </c>
      <c r="C48" s="180">
        <f>if('TTP Tracker 26'!$B$2="MONTHLY TOTAL",$A48,$B48)</f>
        <v>0</v>
      </c>
      <c r="D48" s="181">
        <v>45921.0</v>
      </c>
      <c r="E48" s="180" t="s">
        <v>210</v>
      </c>
      <c r="F48" s="180">
        <f t="shared" si="7"/>
        <v>0</v>
      </c>
      <c r="G48" s="180"/>
      <c r="H48" s="180"/>
      <c r="I48" s="180"/>
      <c r="J48" s="180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</row>
    <row r="49">
      <c r="A49" s="179">
        <f>IF(and(D49&gt;='TTP Tracker 26'!$C$3,D49&lt;'TTP Tracker 26'!$C$4),1,0)</f>
        <v>0</v>
      </c>
      <c r="B49" s="180">
        <f>if(and(D49&gt;TODAY(),D49&lt;'TTP Tracker 26'!$C$4),1,0)</f>
        <v>0</v>
      </c>
      <c r="C49" s="180">
        <f>if('TTP Tracker 26'!$B$2="MONTHLY TOTAL",$A49,$B49)</f>
        <v>0</v>
      </c>
      <c r="D49" s="181">
        <v>45922.0</v>
      </c>
      <c r="E49" s="180" t="s">
        <v>211</v>
      </c>
      <c r="F49" s="180">
        <f t="shared" si="7"/>
        <v>0</v>
      </c>
      <c r="G49" s="177"/>
      <c r="H49" s="177"/>
      <c r="I49" s="177"/>
      <c r="J49" s="177"/>
      <c r="L49" s="180">
        <f>if('TTP Tracker 26'!$B$2="MONTHLY TOTAL",$A49,$B49)</f>
        <v>0</v>
      </c>
      <c r="M49" s="180">
        <f>if('TTP Tracker 26'!$B$2="MONTHLY TOTAL",$A49,$B49)</f>
        <v>0</v>
      </c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</row>
    <row r="50">
      <c r="A50" s="179">
        <f>IF(and(D50&gt;='TTP Tracker 26'!$C$3,D50&lt;'TTP Tracker 26'!$C$4),1,0)</f>
        <v>0</v>
      </c>
      <c r="B50" s="180">
        <f>if(and(D50&gt;TODAY(),D50&lt;'TTP Tracker 26'!$C$4),1,0)</f>
        <v>0</v>
      </c>
      <c r="C50" s="180">
        <f>if('TTP Tracker 26'!$B$2="MONTHLY TOTAL",$A50,$B50)</f>
        <v>0</v>
      </c>
      <c r="D50" s="181">
        <v>45923.0</v>
      </c>
      <c r="E50" s="180" t="s">
        <v>212</v>
      </c>
      <c r="F50" s="180">
        <f t="shared" si="7"/>
        <v>0</v>
      </c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</row>
    <row r="51">
      <c r="A51" s="179">
        <f>IF(and(D51&gt;='TTP Tracker 26'!$C$3,D51&lt;'TTP Tracker 26'!$C$4),1,0)</f>
        <v>0</v>
      </c>
      <c r="B51" s="180">
        <f>if(and(D51&gt;TODAY(),D51&lt;'TTP Tracker 26'!$C$4),1,0)</f>
        <v>0</v>
      </c>
      <c r="C51" s="180">
        <f>if('TTP Tracker 26'!$B$2="MONTHLY TOTAL",$A51,$B51)</f>
        <v>0</v>
      </c>
      <c r="D51" s="181">
        <v>45924.0</v>
      </c>
      <c r="E51" s="180" t="s">
        <v>213</v>
      </c>
      <c r="F51" s="180">
        <f t="shared" si="7"/>
        <v>0</v>
      </c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</row>
    <row r="52">
      <c r="A52" s="179">
        <f>IF(and(D52&gt;='TTP Tracker 26'!$C$3,D52&lt;'TTP Tracker 26'!$C$4),1,0)</f>
        <v>0</v>
      </c>
      <c r="B52" s="180">
        <f>if(and(D52&gt;TODAY(),D52&lt;'TTP Tracker 26'!$C$4),1,0)</f>
        <v>0</v>
      </c>
      <c r="C52" s="180">
        <f>if('TTP Tracker 26'!$B$2="MONTHLY TOTAL",$A52,$B52)</f>
        <v>0</v>
      </c>
      <c r="D52" s="181">
        <v>45925.0</v>
      </c>
      <c r="E52" s="180" t="s">
        <v>207</v>
      </c>
      <c r="F52" s="180">
        <f t="shared" si="7"/>
        <v>0</v>
      </c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</row>
    <row r="53">
      <c r="A53" s="179">
        <f>IF(and(D53&gt;='TTP Tracker 26'!$C$3,D53&lt;'TTP Tracker 26'!$C$4),1,0)</f>
        <v>0</v>
      </c>
      <c r="B53" s="180">
        <f>if(and(D53&gt;TODAY(),D53&lt;'TTP Tracker 26'!$C$4),1,0)</f>
        <v>0</v>
      </c>
      <c r="C53" s="180">
        <f>if('TTP Tracker 26'!$B$2="MONTHLY TOTAL",$A53,$B53)</f>
        <v>0</v>
      </c>
      <c r="D53" s="181">
        <v>45926.0</v>
      </c>
      <c r="E53" s="180" t="s">
        <v>208</v>
      </c>
      <c r="F53" s="180">
        <f t="shared" si="7"/>
        <v>0</v>
      </c>
      <c r="G53" s="180"/>
      <c r="H53" s="180"/>
      <c r="I53" s="180">
        <f>if('TTP Tracker 26'!$B$2="MONTHLY TOTAL",$A53,$B53)</f>
        <v>0</v>
      </c>
      <c r="J53" s="180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</row>
    <row r="54">
      <c r="A54" s="179">
        <f>IF(and(D54&gt;='TTP Tracker 26'!$C$3,D54&lt;'TTP Tracker 26'!$C$4),1,0)</f>
        <v>0</v>
      </c>
      <c r="B54" s="180">
        <f>if(and(D54&gt;TODAY(),D54&lt;'TTP Tracker 26'!$C$4),1,0)</f>
        <v>0</v>
      </c>
      <c r="C54" s="180">
        <f>if('TTP Tracker 26'!$B$2="MONTHLY TOTAL",$A54,$B54)</f>
        <v>0</v>
      </c>
      <c r="D54" s="181">
        <v>45927.0</v>
      </c>
      <c r="E54" s="180" t="s">
        <v>209</v>
      </c>
      <c r="F54" s="180">
        <f t="shared" si="7"/>
        <v>0</v>
      </c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</row>
    <row r="55">
      <c r="A55" s="179">
        <f>IF(and(D55&gt;='TTP Tracker 26'!$C$3,D55&lt;'TTP Tracker 26'!$C$4),1,0)</f>
        <v>0</v>
      </c>
      <c r="B55" s="180">
        <f>if(and(D55&gt;TODAY(),D55&lt;'TTP Tracker 26'!$C$4),1,0)</f>
        <v>0</v>
      </c>
      <c r="C55" s="180">
        <f>if('TTP Tracker 26'!$B$2="MONTHLY TOTAL",$A55,$B55)</f>
        <v>0</v>
      </c>
      <c r="D55" s="181">
        <v>45928.0</v>
      </c>
      <c r="E55" s="180" t="s">
        <v>210</v>
      </c>
      <c r="F55" s="180">
        <f t="shared" si="7"/>
        <v>0</v>
      </c>
      <c r="H55" s="180"/>
      <c r="I55" s="180"/>
      <c r="J55" s="180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</row>
    <row r="56">
      <c r="A56" s="179">
        <f>IF(and(D56&gt;='TTP Tracker 26'!$C$3,D56&lt;'TTP Tracker 26'!$C$4),1,0)</f>
        <v>0</v>
      </c>
      <c r="B56" s="180">
        <f>if(and(D56&gt;TODAY(),D56&lt;'TTP Tracker 26'!$C$4),1,0)</f>
        <v>0</v>
      </c>
      <c r="C56" s="180">
        <f>if('TTP Tracker 26'!$B$2="MONTHLY TOTAL",$A56,$B56)</f>
        <v>0</v>
      </c>
      <c r="D56" s="181">
        <v>45929.0</v>
      </c>
      <c r="E56" s="180" t="s">
        <v>211</v>
      </c>
      <c r="F56" s="180">
        <f t="shared" si="7"/>
        <v>0</v>
      </c>
      <c r="G56" s="177"/>
      <c r="H56" s="177"/>
      <c r="I56" s="177"/>
      <c r="J56" s="177"/>
      <c r="K56" s="177"/>
      <c r="L56" s="177"/>
      <c r="M56" s="180">
        <f>if('TTP Tracker 26'!$B$2="MONTHLY TOTAL",$A56,$B56)</f>
        <v>0</v>
      </c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</row>
    <row r="57">
      <c r="A57" s="179">
        <f>IF(and(D57&gt;='TTP Tracker 26'!$C$3,D57&lt;'TTP Tracker 26'!$C$4),1,0)</f>
        <v>0</v>
      </c>
      <c r="B57" s="180">
        <f>if(and(D57&gt;TODAY(),D57&lt;'TTP Tracker 26'!$C$4),1,0)</f>
        <v>0</v>
      </c>
      <c r="C57" s="180">
        <f>if('TTP Tracker 26'!$B$2="MONTHLY TOTAL",$A57,$B57)</f>
        <v>0</v>
      </c>
      <c r="D57" s="181">
        <v>45930.0</v>
      </c>
      <c r="E57" s="180" t="s">
        <v>212</v>
      </c>
      <c r="F57" s="180">
        <f t="shared" si="7"/>
        <v>0</v>
      </c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</row>
    <row r="58">
      <c r="A58" s="179">
        <f>IF(and(D58&gt;='TTP Tracker 26'!$C$3,D58&lt;'TTP Tracker 26'!$C$4),1,0)</f>
        <v>0</v>
      </c>
      <c r="B58" s="180">
        <f>if(and(D58&gt;TODAY(),D58&lt;'TTP Tracker 26'!$C$4),1,0)</f>
        <v>0</v>
      </c>
      <c r="C58" s="180">
        <f>if('TTP Tracker 26'!$B$2="MONTHLY TOTAL",$A58,$B58)</f>
        <v>0</v>
      </c>
      <c r="D58" s="181">
        <v>45931.0</v>
      </c>
      <c r="E58" s="180" t="s">
        <v>213</v>
      </c>
      <c r="F58" s="180">
        <f t="shared" si="7"/>
        <v>0</v>
      </c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</row>
    <row r="59">
      <c r="A59" s="179">
        <f>IF(and(D59&gt;='TTP Tracker 26'!$C$3,D59&lt;'TTP Tracker 26'!$C$4),1,0)</f>
        <v>0</v>
      </c>
      <c r="B59" s="180">
        <f>if(and(D59&gt;TODAY(),D59&lt;'TTP Tracker 26'!$C$4),1,0)</f>
        <v>0</v>
      </c>
      <c r="C59" s="180">
        <f>if('TTP Tracker 26'!$B$2="MONTHLY TOTAL",$A59,$B59)</f>
        <v>0</v>
      </c>
      <c r="D59" s="181">
        <v>45932.0</v>
      </c>
      <c r="E59" s="180" t="s">
        <v>207</v>
      </c>
      <c r="F59" s="180">
        <f t="shared" si="7"/>
        <v>0</v>
      </c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</row>
    <row r="60">
      <c r="A60" s="179">
        <f>IF(and(D60&gt;='TTP Tracker 26'!$C$3,D60&lt;'TTP Tracker 26'!$C$4),1,0)</f>
        <v>0</v>
      </c>
      <c r="B60" s="180">
        <f>if(and(D60&gt;TODAY(),D60&lt;'TTP Tracker 26'!$C$4),1,0)</f>
        <v>0</v>
      </c>
      <c r="C60" s="180">
        <f>if('TTP Tracker 26'!$B$2="MONTHLY TOTAL",$A60,$B60)</f>
        <v>0</v>
      </c>
      <c r="D60" s="181">
        <v>45933.0</v>
      </c>
      <c r="E60" s="180" t="s">
        <v>208</v>
      </c>
      <c r="F60" s="180">
        <f t="shared" si="7"/>
        <v>0</v>
      </c>
      <c r="G60" s="180">
        <f>if('TTP Tracker 26'!$B$2="MONTHLY TOTAL",$A60,$B60)</f>
        <v>0</v>
      </c>
      <c r="H60" s="180"/>
      <c r="I60" s="180"/>
      <c r="J60" s="180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</row>
    <row r="61">
      <c r="A61" s="179">
        <f>IF(and(D61&gt;='TTP Tracker 26'!$C$3,D61&lt;'TTP Tracker 26'!$C$4),1,0)</f>
        <v>0</v>
      </c>
      <c r="B61" s="180">
        <f>if(and(D61&gt;TODAY(),D61&lt;'TTP Tracker 26'!$C$4),1,0)</f>
        <v>0</v>
      </c>
      <c r="C61" s="180">
        <f>if('TTP Tracker 26'!$B$2="MONTHLY TOTAL",$A61,$B61)</f>
        <v>0</v>
      </c>
      <c r="D61" s="181">
        <v>45934.0</v>
      </c>
      <c r="E61" s="180" t="s">
        <v>209</v>
      </c>
      <c r="F61" s="180">
        <f t="shared" si="7"/>
        <v>0</v>
      </c>
      <c r="G61" s="177"/>
      <c r="H61" s="177"/>
      <c r="I61" s="177"/>
      <c r="J61" s="177"/>
      <c r="K61" s="180">
        <f>if('TTP Tracker 26'!$B$2="MONTHLY TOTAL",$A61,$B61)</f>
        <v>0</v>
      </c>
      <c r="L61" s="180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</row>
    <row r="62">
      <c r="A62" s="179">
        <f>IF(and(D62&gt;='TTP Tracker 26'!$C$3,D62&lt;'TTP Tracker 26'!$C$4),1,0)</f>
        <v>0</v>
      </c>
      <c r="B62" s="180">
        <f>if(and(D62&gt;TODAY(),D62&lt;'TTP Tracker 26'!$C$4),1,0)</f>
        <v>0</v>
      </c>
      <c r="C62" s="180">
        <f>if('TTP Tracker 26'!$B$2="MONTHLY TOTAL",$A62,$B62)</f>
        <v>0</v>
      </c>
      <c r="D62" s="181">
        <v>45935.0</v>
      </c>
      <c r="E62" s="180" t="s">
        <v>210</v>
      </c>
      <c r="F62" s="180">
        <f t="shared" si="7"/>
        <v>0</v>
      </c>
      <c r="G62" s="180"/>
      <c r="H62" s="180"/>
      <c r="I62" s="180"/>
      <c r="J62" s="180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</row>
    <row r="63">
      <c r="A63" s="179">
        <f>IF(and(D63&gt;='TTP Tracker 26'!$C$3,D63&lt;'TTP Tracker 26'!$C$4),1,0)</f>
        <v>0</v>
      </c>
      <c r="B63" s="180">
        <f>if(and(D63&gt;TODAY(),D63&lt;'TTP Tracker 26'!$C$4),1,0)</f>
        <v>0</v>
      </c>
      <c r="C63" s="180">
        <f>if('TTP Tracker 26'!$B$2="MONTHLY TOTAL",$A63,$B63)</f>
        <v>0</v>
      </c>
      <c r="D63" s="181">
        <v>45936.0</v>
      </c>
      <c r="E63" s="180" t="s">
        <v>211</v>
      </c>
      <c r="F63" s="180">
        <f t="shared" si="7"/>
        <v>0</v>
      </c>
      <c r="G63" s="177"/>
      <c r="H63" s="177"/>
      <c r="I63" s="177"/>
      <c r="J63" s="177"/>
      <c r="L63" s="180">
        <f>if('TTP Tracker 26'!$B$2="MONTHLY TOTAL",$A63,$B63)</f>
        <v>0</v>
      </c>
      <c r="M63" s="180">
        <f>if('TTP Tracker 26'!$B$2="MONTHLY TOTAL",$A63,$B63)</f>
        <v>0</v>
      </c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</row>
    <row r="64">
      <c r="A64" s="179">
        <f>IF(and(D64&gt;='TTP Tracker 26'!$C$3,D64&lt;'TTP Tracker 26'!$C$4),1,0)</f>
        <v>0</v>
      </c>
      <c r="B64" s="180">
        <f>if(and(D64&gt;TODAY(),D64&lt;'TTP Tracker 26'!$C$4),1,0)</f>
        <v>0</v>
      </c>
      <c r="C64" s="180">
        <f>if('TTP Tracker 26'!$B$2="MONTHLY TOTAL",$A64,$B64)</f>
        <v>0</v>
      </c>
      <c r="D64" s="181">
        <v>45937.0</v>
      </c>
      <c r="E64" s="180" t="s">
        <v>212</v>
      </c>
      <c r="F64" s="180">
        <f t="shared" si="7"/>
        <v>0</v>
      </c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</row>
    <row r="65">
      <c r="A65" s="179">
        <f>IF(and(D65&gt;='TTP Tracker 26'!$C$3,D65&lt;'TTP Tracker 26'!$C$4),1,0)</f>
        <v>0</v>
      </c>
      <c r="B65" s="180">
        <f>if(and(D65&gt;TODAY(),D65&lt;'TTP Tracker 26'!$C$4),1,0)</f>
        <v>0</v>
      </c>
      <c r="C65" s="180">
        <f>if('TTP Tracker 26'!$B$2="MONTHLY TOTAL",$A65,$B65)</f>
        <v>0</v>
      </c>
      <c r="D65" s="181">
        <v>45938.0</v>
      </c>
      <c r="E65" s="180" t="s">
        <v>213</v>
      </c>
      <c r="F65" s="180">
        <f t="shared" si="7"/>
        <v>0</v>
      </c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</row>
    <row r="66">
      <c r="A66" s="179">
        <f>IF(and(D66&gt;='TTP Tracker 26'!$C$3,D66&lt;'TTP Tracker 26'!$C$4),1,0)</f>
        <v>0</v>
      </c>
      <c r="B66" s="180">
        <f>if(and(D66&gt;TODAY(),D66&lt;'TTP Tracker 26'!$C$4),1,0)</f>
        <v>0</v>
      </c>
      <c r="C66" s="180">
        <f>if('TTP Tracker 26'!$B$2="MONTHLY TOTAL",$A66,$B66)</f>
        <v>0</v>
      </c>
      <c r="D66" s="181">
        <v>45939.0</v>
      </c>
      <c r="E66" s="180" t="s">
        <v>207</v>
      </c>
      <c r="F66" s="180">
        <f t="shared" si="7"/>
        <v>0</v>
      </c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</row>
    <row r="67">
      <c r="A67" s="179">
        <f>IF(and(D67&gt;='TTP Tracker 26'!$C$3,D67&lt;'TTP Tracker 26'!$C$4),1,0)</f>
        <v>0</v>
      </c>
      <c r="B67" s="180">
        <f>if(and(D67&gt;TODAY(),D67&lt;'TTP Tracker 26'!$C$4),1,0)</f>
        <v>0</v>
      </c>
      <c r="C67" s="180">
        <f>if('TTP Tracker 26'!$B$2="MONTHLY TOTAL",$A67,$B67)</f>
        <v>0</v>
      </c>
      <c r="D67" s="181">
        <v>45940.0</v>
      </c>
      <c r="E67" s="180" t="s">
        <v>208</v>
      </c>
      <c r="F67" s="180">
        <f t="shared" si="7"/>
        <v>0</v>
      </c>
      <c r="G67" s="180"/>
      <c r="H67" s="180"/>
      <c r="I67" s="180">
        <f>if('TTP Tracker 26'!$B$2="MONTHLY TOTAL",$A67,$B67)</f>
        <v>0</v>
      </c>
      <c r="J67" s="180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</row>
    <row r="68">
      <c r="A68" s="179">
        <f>IF(and(D68&gt;='TTP Tracker 26'!$C$3,D68&lt;'TTP Tracker 26'!$C$4),1,0)</f>
        <v>0</v>
      </c>
      <c r="B68" s="180">
        <f>if(and(D68&gt;TODAY(),D68&lt;'TTP Tracker 26'!$C$4),1,0)</f>
        <v>0</v>
      </c>
      <c r="C68" s="180">
        <f>if('TTP Tracker 26'!$B$2="MONTHLY TOTAL",$A68,$B68)</f>
        <v>0</v>
      </c>
      <c r="D68" s="181">
        <v>45941.0</v>
      </c>
      <c r="E68" s="180" t="s">
        <v>209</v>
      </c>
      <c r="F68" s="180">
        <f t="shared" si="7"/>
        <v>0</v>
      </c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</row>
    <row r="69">
      <c r="A69" s="179">
        <f>IF(and(D69&gt;='TTP Tracker 26'!$C$3,D69&lt;'TTP Tracker 26'!$C$4),1,0)</f>
        <v>0</v>
      </c>
      <c r="B69" s="180">
        <f>if(and(D69&gt;TODAY(),D69&lt;'TTP Tracker 26'!$C$4),1,0)</f>
        <v>0</v>
      </c>
      <c r="C69" s="180">
        <f>if('TTP Tracker 26'!$B$2="MONTHLY TOTAL",$A69,$B69)</f>
        <v>0</v>
      </c>
      <c r="D69" s="181">
        <v>45942.0</v>
      </c>
      <c r="E69" s="180" t="s">
        <v>210</v>
      </c>
      <c r="F69" s="180">
        <f t="shared" si="7"/>
        <v>0</v>
      </c>
      <c r="H69" s="180"/>
      <c r="I69" s="180"/>
      <c r="J69" s="180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  <c r="AH69" s="177"/>
      <c r="AI69" s="177"/>
    </row>
    <row r="70">
      <c r="A70" s="179">
        <f>IF(and(D70&gt;='TTP Tracker 26'!$C$3,D70&lt;'TTP Tracker 26'!$C$4),1,0)</f>
        <v>0</v>
      </c>
      <c r="B70" s="180">
        <f>if(and(D70&gt;TODAY(),D70&lt;'TTP Tracker 26'!$C$4),1,0)</f>
        <v>0</v>
      </c>
      <c r="C70" s="180">
        <f>if('TTP Tracker 26'!$B$2="MONTHLY TOTAL",$A70,$B70)</f>
        <v>0</v>
      </c>
      <c r="D70" s="181">
        <v>45943.0</v>
      </c>
      <c r="E70" s="180" t="s">
        <v>211</v>
      </c>
      <c r="F70" s="180">
        <f t="shared" si="7"/>
        <v>0</v>
      </c>
      <c r="G70" s="177"/>
      <c r="H70" s="177"/>
      <c r="I70" s="177"/>
      <c r="J70" s="177"/>
      <c r="K70" s="177"/>
      <c r="L70" s="177"/>
      <c r="M70" s="180">
        <f>if('TTP Tracker 26'!$B$2="MONTHLY TOTAL",$A70,$B70)</f>
        <v>0</v>
      </c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</row>
    <row r="71">
      <c r="A71" s="179">
        <f>IF(and(D71&gt;='TTP Tracker 26'!$C$3,D71&lt;'TTP Tracker 26'!$C$4),1,0)</f>
        <v>0</v>
      </c>
      <c r="B71" s="180">
        <f>if(and(D71&gt;TODAY(),D71&lt;'TTP Tracker 26'!$C$4),1,0)</f>
        <v>0</v>
      </c>
      <c r="C71" s="180">
        <f>if('TTP Tracker 26'!$B$2="MONTHLY TOTAL",$A71,$B71)</f>
        <v>0</v>
      </c>
      <c r="D71" s="181">
        <v>45944.0</v>
      </c>
      <c r="E71" s="180" t="s">
        <v>212</v>
      </c>
      <c r="F71" s="180">
        <f t="shared" si="7"/>
        <v>0</v>
      </c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</row>
    <row r="72">
      <c r="A72" s="179">
        <f>IF(and(D72&gt;='TTP Tracker 26'!$C$3,D72&lt;'TTP Tracker 26'!$C$4),1,0)</f>
        <v>0</v>
      </c>
      <c r="B72" s="180">
        <f>if(and(D72&gt;TODAY(),D72&lt;'TTP Tracker 26'!$C$4),1,0)</f>
        <v>0</v>
      </c>
      <c r="C72" s="180">
        <f>if('TTP Tracker 26'!$B$2="MONTHLY TOTAL",$A72,$B72)</f>
        <v>0</v>
      </c>
      <c r="D72" s="181">
        <v>45945.0</v>
      </c>
      <c r="E72" s="180" t="s">
        <v>213</v>
      </c>
      <c r="F72" s="180">
        <f t="shared" si="7"/>
        <v>0</v>
      </c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</row>
    <row r="73">
      <c r="A73" s="179">
        <f>IF(and(D73&gt;='TTP Tracker 26'!$C$3,D73&lt;'TTP Tracker 26'!$C$4),1,0)</f>
        <v>0</v>
      </c>
      <c r="B73" s="180">
        <f>if(and(D73&gt;TODAY(),D73&lt;'TTP Tracker 26'!$C$4),1,0)</f>
        <v>0</v>
      </c>
      <c r="C73" s="180">
        <f>if('TTP Tracker 26'!$B$2="MONTHLY TOTAL",$A73,$B73)</f>
        <v>0</v>
      </c>
      <c r="D73" s="181">
        <v>45946.0</v>
      </c>
      <c r="E73" s="180" t="s">
        <v>207</v>
      </c>
      <c r="F73" s="180">
        <f t="shared" si="7"/>
        <v>0</v>
      </c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</row>
    <row r="74">
      <c r="A74" s="179">
        <f>IF(and(D74&gt;='TTP Tracker 26'!$C$3,D74&lt;'TTP Tracker 26'!$C$4),1,0)</f>
        <v>0</v>
      </c>
      <c r="B74" s="180">
        <f>if(and(D74&gt;TODAY(),D74&lt;'TTP Tracker 26'!$C$4),1,0)</f>
        <v>0</v>
      </c>
      <c r="C74" s="180">
        <f>if('TTP Tracker 26'!$B$2="MONTHLY TOTAL",$A74,$B74)</f>
        <v>0</v>
      </c>
      <c r="D74" s="181">
        <v>45947.0</v>
      </c>
      <c r="E74" s="180" t="s">
        <v>208</v>
      </c>
      <c r="F74" s="180">
        <f t="shared" si="7"/>
        <v>0</v>
      </c>
      <c r="G74" s="180">
        <f>if('TTP Tracker 26'!$B$2="MONTHLY TOTAL",$A74,$B74)</f>
        <v>0</v>
      </c>
      <c r="H74" s="180"/>
      <c r="I74" s="180"/>
      <c r="J74" s="180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</row>
    <row r="75">
      <c r="A75" s="179">
        <f>IF(and(D75&gt;='TTP Tracker 26'!$C$3,D75&lt;'TTP Tracker 26'!$C$4),1,0)</f>
        <v>0</v>
      </c>
      <c r="B75" s="180">
        <f>if(and(D75&gt;TODAY(),D75&lt;'TTP Tracker 26'!$C$4),1,0)</f>
        <v>0</v>
      </c>
      <c r="C75" s="180">
        <f>if('TTP Tracker 26'!$B$2="MONTHLY TOTAL",$A75,$B75)</f>
        <v>0</v>
      </c>
      <c r="D75" s="181">
        <v>45948.0</v>
      </c>
      <c r="E75" s="180" t="s">
        <v>209</v>
      </c>
      <c r="F75" s="180">
        <f t="shared" si="7"/>
        <v>0</v>
      </c>
      <c r="G75" s="177"/>
      <c r="H75" s="177"/>
      <c r="I75" s="177"/>
      <c r="J75" s="177"/>
      <c r="K75" s="180">
        <f>if('TTP Tracker 26'!$B$2="MONTHLY TOTAL",$A75,$B75)</f>
        <v>0</v>
      </c>
      <c r="L75" s="180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</row>
    <row r="76">
      <c r="A76" s="179">
        <f>IF(and(D76&gt;='TTP Tracker 26'!$C$3,D76&lt;'TTP Tracker 26'!$C$4),1,0)</f>
        <v>0</v>
      </c>
      <c r="B76" s="180">
        <f>if(and(D76&gt;TODAY(),D76&lt;'TTP Tracker 26'!$C$4),1,0)</f>
        <v>0</v>
      </c>
      <c r="C76" s="180">
        <f>if('TTP Tracker 26'!$B$2="MONTHLY TOTAL",$A76,$B76)</f>
        <v>0</v>
      </c>
      <c r="D76" s="181">
        <v>45949.0</v>
      </c>
      <c r="E76" s="180" t="s">
        <v>210</v>
      </c>
      <c r="F76" s="180">
        <f t="shared" si="7"/>
        <v>0</v>
      </c>
      <c r="G76" s="180"/>
      <c r="H76" s="180"/>
      <c r="I76" s="180"/>
      <c r="J76" s="180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</row>
    <row r="77">
      <c r="A77" s="179">
        <f>IF(and(D77&gt;='TTP Tracker 26'!$C$3,D77&lt;'TTP Tracker 26'!$C$4),1,0)</f>
        <v>0</v>
      </c>
      <c r="B77" s="180">
        <f>if(and(D77&gt;TODAY(),D77&lt;'TTP Tracker 26'!$C$4),1,0)</f>
        <v>0</v>
      </c>
      <c r="C77" s="180">
        <f>if('TTP Tracker 26'!$B$2="MONTHLY TOTAL",$A77,$B77)</f>
        <v>0</v>
      </c>
      <c r="D77" s="181">
        <v>45950.0</v>
      </c>
      <c r="E77" s="180" t="s">
        <v>211</v>
      </c>
      <c r="F77" s="180">
        <f t="shared" si="7"/>
        <v>0</v>
      </c>
      <c r="G77" s="177"/>
      <c r="H77" s="177"/>
      <c r="I77" s="177"/>
      <c r="J77" s="177"/>
      <c r="L77" s="180">
        <f>if('TTP Tracker 26'!$B$2="MONTHLY TOTAL",$A77,$B77)</f>
        <v>0</v>
      </c>
      <c r="M77" s="180">
        <f>if('TTP Tracker 26'!$B$2="MONTHLY TOTAL",$A77,$B77)</f>
        <v>0</v>
      </c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</row>
    <row r="78">
      <c r="A78" s="179">
        <f>IF(and(D78&gt;='TTP Tracker 26'!$C$3,D78&lt;'TTP Tracker 26'!$C$4),1,0)</f>
        <v>0</v>
      </c>
      <c r="B78" s="180">
        <f>if(and(D78&gt;TODAY(),D78&lt;'TTP Tracker 26'!$C$4),1,0)</f>
        <v>0</v>
      </c>
      <c r="C78" s="180">
        <f>if('TTP Tracker 26'!$B$2="MONTHLY TOTAL",$A78,$B78)</f>
        <v>0</v>
      </c>
      <c r="D78" s="181">
        <v>45951.0</v>
      </c>
      <c r="E78" s="180" t="s">
        <v>212</v>
      </c>
      <c r="F78" s="180">
        <f t="shared" si="7"/>
        <v>0</v>
      </c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</row>
    <row r="79">
      <c r="A79" s="179">
        <f>IF(and(D79&gt;='TTP Tracker 26'!$C$3,D79&lt;'TTP Tracker 26'!$C$4),1,0)</f>
        <v>0</v>
      </c>
      <c r="B79" s="180">
        <f>if(and(D79&gt;TODAY(),D79&lt;'TTP Tracker 26'!$C$4),1,0)</f>
        <v>0</v>
      </c>
      <c r="C79" s="180">
        <f>if('TTP Tracker 26'!$B$2="MONTHLY TOTAL",$A79,$B79)</f>
        <v>0</v>
      </c>
      <c r="D79" s="181">
        <v>45952.0</v>
      </c>
      <c r="E79" s="180" t="s">
        <v>213</v>
      </c>
      <c r="F79" s="180">
        <f t="shared" si="7"/>
        <v>0</v>
      </c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</row>
    <row r="80">
      <c r="A80" s="179">
        <f>IF(and(D80&gt;='TTP Tracker 26'!$C$3,D80&lt;'TTP Tracker 26'!$C$4),1,0)</f>
        <v>0</v>
      </c>
      <c r="B80" s="180">
        <f>if(and(D80&gt;TODAY(),D80&lt;'TTP Tracker 26'!$C$4),1,0)</f>
        <v>0</v>
      </c>
      <c r="C80" s="180">
        <f>if('TTP Tracker 26'!$B$2="MONTHLY TOTAL",$A80,$B80)</f>
        <v>0</v>
      </c>
      <c r="D80" s="181">
        <v>45953.0</v>
      </c>
      <c r="E80" s="180" t="s">
        <v>207</v>
      </c>
      <c r="F80" s="180">
        <f t="shared" si="7"/>
        <v>0</v>
      </c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</row>
    <row r="81">
      <c r="A81" s="179">
        <f>IF(and(D81&gt;='TTP Tracker 26'!$C$3,D81&lt;'TTP Tracker 26'!$C$4),1,0)</f>
        <v>0</v>
      </c>
      <c r="B81" s="180">
        <f>if(and(D81&gt;TODAY(),D81&lt;'TTP Tracker 26'!$C$4),1,0)</f>
        <v>0</v>
      </c>
      <c r="C81" s="180">
        <f>if('TTP Tracker 26'!$B$2="MONTHLY TOTAL",$A81,$B81)</f>
        <v>0</v>
      </c>
      <c r="D81" s="181">
        <v>45954.0</v>
      </c>
      <c r="E81" s="180" t="s">
        <v>208</v>
      </c>
      <c r="F81" s="180">
        <f t="shared" si="7"/>
        <v>0</v>
      </c>
      <c r="G81" s="180"/>
      <c r="H81" s="180"/>
      <c r="I81" s="180">
        <f>if('TTP Tracker 26'!$B$2="MONTHLY TOTAL",$A81,$B81)</f>
        <v>0</v>
      </c>
      <c r="J81" s="180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</row>
    <row r="82">
      <c r="A82" s="179">
        <f>IF(and(D82&gt;='TTP Tracker 26'!$C$3,D82&lt;'TTP Tracker 26'!$C$4),1,0)</f>
        <v>0</v>
      </c>
      <c r="B82" s="180">
        <f>if(and(D82&gt;TODAY(),D82&lt;'TTP Tracker 26'!$C$4),1,0)</f>
        <v>0</v>
      </c>
      <c r="C82" s="180">
        <f>if('TTP Tracker 26'!$B$2="MONTHLY TOTAL",$A82,$B82)</f>
        <v>0</v>
      </c>
      <c r="D82" s="181">
        <v>45955.0</v>
      </c>
      <c r="E82" s="180" t="s">
        <v>209</v>
      </c>
      <c r="F82" s="180">
        <f t="shared" si="7"/>
        <v>0</v>
      </c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</row>
    <row r="83">
      <c r="A83" s="179">
        <f>IF(and(D83&gt;='TTP Tracker 26'!$C$3,D83&lt;'TTP Tracker 26'!$C$4),1,0)</f>
        <v>0</v>
      </c>
      <c r="B83" s="180">
        <f>if(and(D83&gt;TODAY(),D83&lt;'TTP Tracker 26'!$C$4),1,0)</f>
        <v>0</v>
      </c>
      <c r="C83" s="180">
        <f>if('TTP Tracker 26'!$B$2="MONTHLY TOTAL",$A83,$B83)</f>
        <v>0</v>
      </c>
      <c r="D83" s="181">
        <v>45956.0</v>
      </c>
      <c r="E83" s="180" t="s">
        <v>210</v>
      </c>
      <c r="F83" s="180">
        <f t="shared" si="7"/>
        <v>0</v>
      </c>
      <c r="H83" s="180"/>
      <c r="I83" s="180"/>
      <c r="J83" s="180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  <c r="AH83" s="177"/>
      <c r="AI83" s="177"/>
    </row>
    <row r="84">
      <c r="A84" s="179">
        <f>IF(and(D84&gt;='TTP Tracker 26'!$C$3,D84&lt;'TTP Tracker 26'!$C$4),1,0)</f>
        <v>0</v>
      </c>
      <c r="B84" s="180">
        <f>if(and(D84&gt;TODAY(),D84&lt;'TTP Tracker 26'!$C$4),1,0)</f>
        <v>0</v>
      </c>
      <c r="C84" s="180">
        <f>if('TTP Tracker 26'!$B$2="MONTHLY TOTAL",$A84,$B84)</f>
        <v>0</v>
      </c>
      <c r="D84" s="181">
        <v>45957.0</v>
      </c>
      <c r="E84" s="180" t="s">
        <v>211</v>
      </c>
      <c r="F84" s="180">
        <f t="shared" si="7"/>
        <v>0</v>
      </c>
      <c r="G84" s="177"/>
      <c r="H84" s="177"/>
      <c r="I84" s="177"/>
      <c r="J84" s="177"/>
      <c r="K84" s="177"/>
      <c r="L84" s="177"/>
      <c r="M84" s="180">
        <f>if('TTP Tracker 26'!$B$2="MONTHLY TOTAL",$A84,$B84)</f>
        <v>0</v>
      </c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</row>
    <row r="85">
      <c r="A85" s="179">
        <f>IF(and(D85&gt;='TTP Tracker 26'!$C$3,D85&lt;'TTP Tracker 26'!$C$4),1,0)</f>
        <v>0</v>
      </c>
      <c r="B85" s="180">
        <f>if(and(D85&gt;TODAY(),D85&lt;'TTP Tracker 26'!$C$4),1,0)</f>
        <v>0</v>
      </c>
      <c r="C85" s="180">
        <f>if('TTP Tracker 26'!$B$2="MONTHLY TOTAL",$A85,$B85)</f>
        <v>0</v>
      </c>
      <c r="D85" s="181">
        <v>45958.0</v>
      </c>
      <c r="E85" s="180" t="s">
        <v>212</v>
      </c>
      <c r="F85" s="180">
        <f t="shared" si="7"/>
        <v>0</v>
      </c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</row>
    <row r="86">
      <c r="A86" s="179">
        <f>IF(and(D86&gt;='TTP Tracker 26'!$C$3,D86&lt;'TTP Tracker 26'!$C$4),1,0)</f>
        <v>0</v>
      </c>
      <c r="B86" s="180">
        <f>if(and(D86&gt;TODAY(),D86&lt;'TTP Tracker 26'!$C$4),1,0)</f>
        <v>0</v>
      </c>
      <c r="C86" s="180">
        <f>if('TTP Tracker 26'!$B$2="MONTHLY TOTAL",$A86,$B86)</f>
        <v>0</v>
      </c>
      <c r="D86" s="181">
        <v>45959.0</v>
      </c>
      <c r="E86" s="180" t="s">
        <v>213</v>
      </c>
      <c r="F86" s="180">
        <f t="shared" si="7"/>
        <v>0</v>
      </c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</row>
    <row r="87">
      <c r="A87" s="179">
        <f>IF(and(D87&gt;='TTP Tracker 26'!$C$3,D87&lt;'TTP Tracker 26'!$C$4),1,0)</f>
        <v>0</v>
      </c>
      <c r="B87" s="180">
        <f>if(and(D87&gt;TODAY(),D87&lt;'TTP Tracker 26'!$C$4),1,0)</f>
        <v>0</v>
      </c>
      <c r="C87" s="180">
        <f>if('TTP Tracker 26'!$B$2="MONTHLY TOTAL",$A87,$B87)</f>
        <v>0</v>
      </c>
      <c r="D87" s="181">
        <v>45960.0</v>
      </c>
      <c r="E87" s="180" t="s">
        <v>207</v>
      </c>
      <c r="F87" s="180">
        <f t="shared" si="7"/>
        <v>0</v>
      </c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</row>
    <row r="88">
      <c r="A88" s="179">
        <f>IF(and(D88&gt;='TTP Tracker 26'!$C$3,D88&lt;'TTP Tracker 26'!$C$4),1,0)</f>
        <v>0</v>
      </c>
      <c r="B88" s="180">
        <f>if(and(D88&gt;TODAY(),D88&lt;'TTP Tracker 26'!$C$4),1,0)</f>
        <v>0</v>
      </c>
      <c r="C88" s="180">
        <f>if('TTP Tracker 26'!$B$2="MONTHLY TOTAL",$A88,$B88)</f>
        <v>0</v>
      </c>
      <c r="D88" s="181">
        <v>45961.0</v>
      </c>
      <c r="E88" s="180" t="s">
        <v>208</v>
      </c>
      <c r="F88" s="180">
        <f t="shared" si="7"/>
        <v>0</v>
      </c>
      <c r="G88" s="180">
        <f>if('TTP Tracker 26'!$B$2="MONTHLY TOTAL",$A88,$B88)</f>
        <v>0</v>
      </c>
      <c r="H88" s="180"/>
      <c r="I88" s="180"/>
      <c r="J88" s="180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</row>
    <row r="89">
      <c r="A89" s="179">
        <f>IF(and(D89&gt;='TTP Tracker 26'!$C$3,D89&lt;'TTP Tracker 26'!$C$4),1,0)</f>
        <v>0</v>
      </c>
      <c r="B89" s="180">
        <f>if(and(D89&gt;TODAY(),D89&lt;'TTP Tracker 26'!$C$4),1,0)</f>
        <v>0</v>
      </c>
      <c r="C89" s="180">
        <f>if('TTP Tracker 26'!$B$2="MONTHLY TOTAL",$A89,$B89)</f>
        <v>0</v>
      </c>
      <c r="D89" s="181">
        <v>45962.0</v>
      </c>
      <c r="E89" s="180" t="s">
        <v>209</v>
      </c>
      <c r="F89" s="180">
        <f t="shared" si="7"/>
        <v>0</v>
      </c>
      <c r="G89" s="177"/>
      <c r="H89" s="177"/>
      <c r="I89" s="177"/>
      <c r="J89" s="177"/>
      <c r="K89" s="180">
        <f>if('TTP Tracker 26'!$B$2="MONTHLY TOTAL",$A89,$B89)</f>
        <v>0</v>
      </c>
      <c r="L89" s="180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</row>
    <row r="90">
      <c r="A90" s="179">
        <f>IF(and(D90&gt;='TTP Tracker 26'!$C$3,D90&lt;'TTP Tracker 26'!$C$4),1,0)</f>
        <v>0</v>
      </c>
      <c r="B90" s="180">
        <f>if(and(D90&gt;TODAY(),D90&lt;'TTP Tracker 26'!$C$4),1,0)</f>
        <v>0</v>
      </c>
      <c r="C90" s="180">
        <f>if('TTP Tracker 26'!$B$2="MONTHLY TOTAL",$A90,$B90)</f>
        <v>0</v>
      </c>
      <c r="D90" s="181">
        <v>45963.0</v>
      </c>
      <c r="E90" s="180" t="s">
        <v>210</v>
      </c>
      <c r="F90" s="180">
        <f t="shared" si="7"/>
        <v>0</v>
      </c>
      <c r="G90" s="180"/>
      <c r="H90" s="180"/>
      <c r="I90" s="180"/>
      <c r="J90" s="180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  <c r="AH90" s="177"/>
      <c r="AI90" s="177"/>
    </row>
    <row r="91">
      <c r="A91" s="179">
        <f>IF(and(D91&gt;='TTP Tracker 26'!$C$3,D91&lt;'TTP Tracker 26'!$C$4),1,0)</f>
        <v>0</v>
      </c>
      <c r="B91" s="180">
        <f>if(and(D91&gt;TODAY(),D91&lt;'TTP Tracker 26'!$C$4),1,0)</f>
        <v>0</v>
      </c>
      <c r="C91" s="180">
        <f>if('TTP Tracker 26'!$B$2="MONTHLY TOTAL",$A91,$B91)</f>
        <v>0</v>
      </c>
      <c r="D91" s="181">
        <v>45964.0</v>
      </c>
      <c r="E91" s="180" t="s">
        <v>211</v>
      </c>
      <c r="F91" s="180">
        <f t="shared" si="7"/>
        <v>0</v>
      </c>
      <c r="G91" s="177"/>
      <c r="H91" s="177"/>
      <c r="I91" s="177"/>
      <c r="J91" s="177"/>
      <c r="L91" s="180">
        <f>if('TTP Tracker 26'!$B$2="MONTHLY TOTAL",$A91,$B91)</f>
        <v>0</v>
      </c>
      <c r="M91" s="180">
        <f>if('TTP Tracker 26'!$B$2="MONTHLY TOTAL",$A91,$B91)</f>
        <v>0</v>
      </c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</row>
    <row r="92">
      <c r="A92" s="179">
        <f>IF(and(D92&gt;='TTP Tracker 26'!$C$3,D92&lt;'TTP Tracker 26'!$C$4),1,0)</f>
        <v>0</v>
      </c>
      <c r="B92" s="180">
        <f>if(and(D92&gt;TODAY(),D92&lt;'TTP Tracker 26'!$C$4),1,0)</f>
        <v>0</v>
      </c>
      <c r="C92" s="180">
        <f>if('TTP Tracker 26'!$B$2="MONTHLY TOTAL",$A92,$B92)</f>
        <v>0</v>
      </c>
      <c r="D92" s="181">
        <v>45965.0</v>
      </c>
      <c r="E92" s="180" t="s">
        <v>212</v>
      </c>
      <c r="F92" s="180">
        <f t="shared" si="7"/>
        <v>0</v>
      </c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</row>
    <row r="93">
      <c r="A93" s="179">
        <f>IF(and(D93&gt;='TTP Tracker 26'!$C$3,D93&lt;'TTP Tracker 26'!$C$4),1,0)</f>
        <v>0</v>
      </c>
      <c r="B93" s="180">
        <f>if(and(D93&gt;TODAY(),D93&lt;'TTP Tracker 26'!$C$4),1,0)</f>
        <v>0</v>
      </c>
      <c r="C93" s="180">
        <f>if('TTP Tracker 26'!$B$2="MONTHLY TOTAL",$A93,$B93)</f>
        <v>0</v>
      </c>
      <c r="D93" s="181">
        <v>45966.0</v>
      </c>
      <c r="E93" s="180" t="s">
        <v>213</v>
      </c>
      <c r="F93" s="180">
        <f t="shared" si="7"/>
        <v>0</v>
      </c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</row>
    <row r="94">
      <c r="A94" s="179">
        <f>IF(and(D94&gt;='TTP Tracker 26'!$C$3,D94&lt;'TTP Tracker 26'!$C$4),1,0)</f>
        <v>0</v>
      </c>
      <c r="B94" s="180">
        <f>if(and(D94&gt;TODAY(),D94&lt;'TTP Tracker 26'!$C$4),1,0)</f>
        <v>0</v>
      </c>
      <c r="C94" s="180">
        <f>if('TTP Tracker 26'!$B$2="MONTHLY TOTAL",$A94,$B94)</f>
        <v>0</v>
      </c>
      <c r="D94" s="181">
        <v>45967.0</v>
      </c>
      <c r="E94" s="180" t="s">
        <v>207</v>
      </c>
      <c r="F94" s="180">
        <f t="shared" si="7"/>
        <v>0</v>
      </c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  <c r="AH94" s="177"/>
      <c r="AI94" s="177"/>
    </row>
    <row r="95">
      <c r="A95" s="179">
        <f>IF(and(D95&gt;='TTP Tracker 26'!$C$3,D95&lt;'TTP Tracker 26'!$C$4),1,0)</f>
        <v>0</v>
      </c>
      <c r="B95" s="180">
        <f>if(and(D95&gt;TODAY(),D95&lt;'TTP Tracker 26'!$C$4),1,0)</f>
        <v>0</v>
      </c>
      <c r="C95" s="180">
        <f>if('TTP Tracker 26'!$B$2="MONTHLY TOTAL",$A95,$B95)</f>
        <v>0</v>
      </c>
      <c r="D95" s="181">
        <v>45968.0</v>
      </c>
      <c r="E95" s="180" t="s">
        <v>208</v>
      </c>
      <c r="F95" s="180">
        <f t="shared" si="7"/>
        <v>0</v>
      </c>
      <c r="G95" s="180"/>
      <c r="H95" s="180"/>
      <c r="I95" s="180">
        <f>if('TTP Tracker 26'!$B$2="MONTHLY TOTAL",$A95,$B95)</f>
        <v>0</v>
      </c>
      <c r="J95" s="180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77"/>
    </row>
    <row r="96">
      <c r="A96" s="179">
        <f>IF(and(D96&gt;='TTP Tracker 26'!$C$3,D96&lt;'TTP Tracker 26'!$C$4),1,0)</f>
        <v>0</v>
      </c>
      <c r="B96" s="180">
        <f>if(and(D96&gt;TODAY(),D96&lt;'TTP Tracker 26'!$C$4),1,0)</f>
        <v>0</v>
      </c>
      <c r="C96" s="180">
        <f>if('TTP Tracker 26'!$B$2="MONTHLY TOTAL",$A96,$B96)</f>
        <v>0</v>
      </c>
      <c r="D96" s="181">
        <v>45969.0</v>
      </c>
      <c r="E96" s="180" t="s">
        <v>209</v>
      </c>
      <c r="F96" s="180">
        <f t="shared" si="7"/>
        <v>0</v>
      </c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  <c r="AH96" s="177"/>
      <c r="AI96" s="177"/>
    </row>
    <row r="97">
      <c r="A97" s="179">
        <f>IF(and(D97&gt;='TTP Tracker 26'!$C$3,D97&lt;'TTP Tracker 26'!$C$4),1,0)</f>
        <v>0</v>
      </c>
      <c r="B97" s="180">
        <f>if(and(D97&gt;TODAY(),D97&lt;'TTP Tracker 26'!$C$4),1,0)</f>
        <v>0</v>
      </c>
      <c r="C97" s="180">
        <f>if('TTP Tracker 26'!$B$2="MONTHLY TOTAL",$A97,$B97)</f>
        <v>0</v>
      </c>
      <c r="D97" s="181">
        <v>45970.0</v>
      </c>
      <c r="E97" s="180" t="s">
        <v>210</v>
      </c>
      <c r="F97" s="180">
        <f t="shared" si="7"/>
        <v>0</v>
      </c>
      <c r="H97" s="180"/>
      <c r="I97" s="180"/>
      <c r="J97" s="180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</row>
    <row r="98">
      <c r="A98" s="179">
        <f>IF(and(D98&gt;='TTP Tracker 26'!$C$3,D98&lt;'TTP Tracker 26'!$C$4),1,0)</f>
        <v>0</v>
      </c>
      <c r="B98" s="180">
        <f>if(and(D98&gt;TODAY(),D98&lt;'TTP Tracker 26'!$C$4),1,0)</f>
        <v>0</v>
      </c>
      <c r="C98" s="180">
        <f>if('TTP Tracker 26'!$B$2="MONTHLY TOTAL",$A98,$B98)</f>
        <v>0</v>
      </c>
      <c r="D98" s="181">
        <v>45971.0</v>
      </c>
      <c r="E98" s="180" t="s">
        <v>211</v>
      </c>
      <c r="F98" s="180">
        <f t="shared" si="7"/>
        <v>0</v>
      </c>
      <c r="G98" s="177"/>
      <c r="H98" s="177"/>
      <c r="I98" s="177"/>
      <c r="J98" s="177"/>
      <c r="K98" s="177"/>
      <c r="L98" s="177"/>
      <c r="M98" s="180">
        <f>if('TTP Tracker 26'!$B$2="MONTHLY TOTAL",$A98,$B98)</f>
        <v>0</v>
      </c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</row>
    <row r="99">
      <c r="A99" s="179">
        <f>IF(and(D99&gt;='TTP Tracker 26'!$C$3,D99&lt;'TTP Tracker 26'!$C$4),1,0)</f>
        <v>0</v>
      </c>
      <c r="B99" s="180">
        <f>if(and(D99&gt;TODAY(),D99&lt;'TTP Tracker 26'!$C$4),1,0)</f>
        <v>0</v>
      </c>
      <c r="C99" s="180">
        <f>if('TTP Tracker 26'!$B$2="MONTHLY TOTAL",$A99,$B99)</f>
        <v>0</v>
      </c>
      <c r="D99" s="181">
        <v>45972.0</v>
      </c>
      <c r="E99" s="180" t="s">
        <v>212</v>
      </c>
      <c r="F99" s="180">
        <f t="shared" si="7"/>
        <v>0</v>
      </c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</row>
    <row r="100">
      <c r="A100" s="179">
        <f>IF(and(D100&gt;='TTP Tracker 26'!$C$3,D100&lt;'TTP Tracker 26'!$C$4),1,0)</f>
        <v>0</v>
      </c>
      <c r="B100" s="180">
        <f>if(and(D100&gt;TODAY(),D100&lt;'TTP Tracker 26'!$C$4),1,0)</f>
        <v>0</v>
      </c>
      <c r="C100" s="180">
        <f>if('TTP Tracker 26'!$B$2="MONTHLY TOTAL",$A100,$B100)</f>
        <v>0</v>
      </c>
      <c r="D100" s="181">
        <v>45973.0</v>
      </c>
      <c r="E100" s="180" t="s">
        <v>213</v>
      </c>
      <c r="F100" s="180">
        <f t="shared" si="7"/>
        <v>0</v>
      </c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</row>
    <row r="101">
      <c r="A101" s="179">
        <f>IF(and(D101&gt;='TTP Tracker 26'!$C$3,D101&lt;'TTP Tracker 26'!$C$4),1,0)</f>
        <v>0</v>
      </c>
      <c r="B101" s="180">
        <f>if(and(D101&gt;TODAY(),D101&lt;'TTP Tracker 26'!$C$4),1,0)</f>
        <v>0</v>
      </c>
      <c r="C101" s="180">
        <f>if('TTP Tracker 26'!$B$2="MONTHLY TOTAL",$A101,$B101)</f>
        <v>0</v>
      </c>
      <c r="D101" s="181">
        <v>45974.0</v>
      </c>
      <c r="E101" s="180" t="s">
        <v>207</v>
      </c>
      <c r="F101" s="180">
        <f t="shared" si="7"/>
        <v>0</v>
      </c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</row>
    <row r="102">
      <c r="A102" s="179">
        <f>IF(and(D102&gt;='TTP Tracker 26'!$C$3,D102&lt;'TTP Tracker 26'!$C$4),1,0)</f>
        <v>0</v>
      </c>
      <c r="B102" s="180">
        <f>if(and(D102&gt;TODAY(),D102&lt;'TTP Tracker 26'!$C$4),1,0)</f>
        <v>0</v>
      </c>
      <c r="C102" s="180">
        <f>if('TTP Tracker 26'!$B$2="MONTHLY TOTAL",$A102,$B102)</f>
        <v>0</v>
      </c>
      <c r="D102" s="181">
        <v>45975.0</v>
      </c>
      <c r="E102" s="180" t="s">
        <v>208</v>
      </c>
      <c r="F102" s="180">
        <f t="shared" si="7"/>
        <v>0</v>
      </c>
      <c r="G102" s="180">
        <f>if('TTP Tracker 26'!$B$2="MONTHLY TOTAL",$A102,$B102)</f>
        <v>0</v>
      </c>
      <c r="H102" s="180"/>
      <c r="I102" s="180"/>
      <c r="J102" s="180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  <c r="AH102" s="177"/>
      <c r="AI102" s="177"/>
    </row>
    <row r="103">
      <c r="A103" s="179">
        <f>IF(and(D103&gt;='TTP Tracker 26'!$C$3,D103&lt;'TTP Tracker 26'!$C$4),1,0)</f>
        <v>0</v>
      </c>
      <c r="B103" s="180">
        <f>if(and(D103&gt;TODAY(),D103&lt;'TTP Tracker 26'!$C$4),1,0)</f>
        <v>0</v>
      </c>
      <c r="C103" s="180">
        <f>if('TTP Tracker 26'!$B$2="MONTHLY TOTAL",$A103,$B103)</f>
        <v>0</v>
      </c>
      <c r="D103" s="181">
        <v>45976.0</v>
      </c>
      <c r="E103" s="180" t="s">
        <v>209</v>
      </c>
      <c r="F103" s="180">
        <f t="shared" si="7"/>
        <v>0</v>
      </c>
      <c r="G103" s="177"/>
      <c r="H103" s="177"/>
      <c r="I103" s="177"/>
      <c r="J103" s="177"/>
      <c r="K103" s="180">
        <f>if('TTP Tracker 26'!$B$2="MONTHLY TOTAL",$A103,$B103)</f>
        <v>0</v>
      </c>
      <c r="L103" s="180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77"/>
    </row>
    <row r="104">
      <c r="A104" s="179">
        <f>IF(and(D104&gt;='TTP Tracker 26'!$C$3,D104&lt;'TTP Tracker 26'!$C$4),1,0)</f>
        <v>0</v>
      </c>
      <c r="B104" s="180">
        <f>if(and(D104&gt;TODAY(),D104&lt;'TTP Tracker 26'!$C$4),1,0)</f>
        <v>0</v>
      </c>
      <c r="C104" s="180">
        <f>if('TTP Tracker 26'!$B$2="MONTHLY TOTAL",$A104,$B104)</f>
        <v>0</v>
      </c>
      <c r="D104" s="181">
        <v>45977.0</v>
      </c>
      <c r="E104" s="180" t="s">
        <v>210</v>
      </c>
      <c r="F104" s="180">
        <f t="shared" si="7"/>
        <v>0</v>
      </c>
      <c r="G104" s="180"/>
      <c r="H104" s="180"/>
      <c r="I104" s="180"/>
      <c r="J104" s="180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</row>
    <row r="105">
      <c r="A105" s="179">
        <f>IF(and(D105&gt;='TTP Tracker 26'!$C$3,D105&lt;'TTP Tracker 26'!$C$4),1,0)</f>
        <v>0</v>
      </c>
      <c r="B105" s="180">
        <f>if(and(D105&gt;TODAY(),D105&lt;'TTP Tracker 26'!$C$4),1,0)</f>
        <v>0</v>
      </c>
      <c r="C105" s="180">
        <f>if('TTP Tracker 26'!$B$2="MONTHLY TOTAL",$A105,$B105)</f>
        <v>0</v>
      </c>
      <c r="D105" s="181">
        <v>45978.0</v>
      </c>
      <c r="E105" s="180" t="s">
        <v>211</v>
      </c>
      <c r="F105" s="180">
        <f t="shared" si="7"/>
        <v>0</v>
      </c>
      <c r="G105" s="177"/>
      <c r="H105" s="177"/>
      <c r="I105" s="177"/>
      <c r="J105" s="177"/>
      <c r="L105" s="180">
        <f>if('TTP Tracker 26'!$B$2="MONTHLY TOTAL",$A105,$B105)</f>
        <v>0</v>
      </c>
      <c r="M105" s="180">
        <f>if('TTP Tracker 26'!$B$2="MONTHLY TOTAL",$A105,$B105)</f>
        <v>0</v>
      </c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177"/>
    </row>
    <row r="106">
      <c r="A106" s="179">
        <f>IF(and(D106&gt;='TTP Tracker 26'!$C$3,D106&lt;'TTP Tracker 26'!$C$4),1,0)</f>
        <v>0</v>
      </c>
      <c r="B106" s="180">
        <f>if(and(D106&gt;TODAY(),D106&lt;'TTP Tracker 26'!$C$4),1,0)</f>
        <v>0</v>
      </c>
      <c r="C106" s="180">
        <f>if('TTP Tracker 26'!$B$2="MONTHLY TOTAL",$A106,$B106)</f>
        <v>0</v>
      </c>
      <c r="D106" s="181">
        <v>45979.0</v>
      </c>
      <c r="E106" s="180" t="s">
        <v>212</v>
      </c>
      <c r="F106" s="180">
        <f t="shared" si="7"/>
        <v>0</v>
      </c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  <c r="AH106" s="177"/>
      <c r="AI106" s="177"/>
    </row>
    <row r="107">
      <c r="A107" s="179">
        <f>IF(and(D107&gt;='TTP Tracker 26'!$C$3,D107&lt;'TTP Tracker 26'!$C$4),1,0)</f>
        <v>0</v>
      </c>
      <c r="B107" s="180">
        <f>if(and(D107&gt;TODAY(),D107&lt;'TTP Tracker 26'!$C$4),1,0)</f>
        <v>0</v>
      </c>
      <c r="C107" s="180">
        <f>if('TTP Tracker 26'!$B$2="MONTHLY TOTAL",$A107,$B107)</f>
        <v>0</v>
      </c>
      <c r="D107" s="181">
        <v>45980.0</v>
      </c>
      <c r="E107" s="180" t="s">
        <v>213</v>
      </c>
      <c r="F107" s="180">
        <f t="shared" si="7"/>
        <v>0</v>
      </c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</row>
    <row r="108">
      <c r="A108" s="179">
        <f>IF(and(D108&gt;='TTP Tracker 26'!$C$3,D108&lt;'TTP Tracker 26'!$C$4),1,0)</f>
        <v>0</v>
      </c>
      <c r="B108" s="180">
        <f>if(and(D108&gt;TODAY(),D108&lt;'TTP Tracker 26'!$C$4),1,0)</f>
        <v>0</v>
      </c>
      <c r="C108" s="180">
        <f>if('TTP Tracker 26'!$B$2="MONTHLY TOTAL",$A108,$B108)</f>
        <v>0</v>
      </c>
      <c r="D108" s="181">
        <v>45981.0</v>
      </c>
      <c r="E108" s="180" t="s">
        <v>207</v>
      </c>
      <c r="F108" s="180">
        <f t="shared" si="7"/>
        <v>0</v>
      </c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  <c r="AH108" s="177"/>
      <c r="AI108" s="177"/>
    </row>
    <row r="109">
      <c r="A109" s="179">
        <f>IF(and(D109&gt;='TTP Tracker 26'!$C$3,D109&lt;'TTP Tracker 26'!$C$4),1,0)</f>
        <v>0</v>
      </c>
      <c r="B109" s="180">
        <f>if(and(D109&gt;TODAY(),D109&lt;'TTP Tracker 26'!$C$4),1,0)</f>
        <v>0</v>
      </c>
      <c r="C109" s="180">
        <f>if('TTP Tracker 26'!$B$2="MONTHLY TOTAL",$A109,$B109)</f>
        <v>0</v>
      </c>
      <c r="D109" s="181">
        <v>45982.0</v>
      </c>
      <c r="E109" s="180" t="s">
        <v>208</v>
      </c>
      <c r="F109" s="180">
        <f t="shared" si="7"/>
        <v>0</v>
      </c>
      <c r="G109" s="180"/>
      <c r="H109" s="180"/>
      <c r="I109" s="180">
        <f>if('TTP Tracker 26'!$B$2="MONTHLY TOTAL",$A109,$B109)</f>
        <v>0</v>
      </c>
      <c r="J109" s="180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</row>
    <row r="110">
      <c r="A110" s="179">
        <f>IF(and(D110&gt;='TTP Tracker 26'!$C$3,D110&lt;'TTP Tracker 26'!$C$4),1,0)</f>
        <v>0</v>
      </c>
      <c r="B110" s="180">
        <f>if(and(D110&gt;TODAY(),D110&lt;'TTP Tracker 26'!$C$4),1,0)</f>
        <v>0</v>
      </c>
      <c r="C110" s="180">
        <f>if('TTP Tracker 26'!$B$2="MONTHLY TOTAL",$A110,$B110)</f>
        <v>0</v>
      </c>
      <c r="D110" s="181">
        <v>45983.0</v>
      </c>
      <c r="E110" s="180" t="s">
        <v>209</v>
      </c>
      <c r="F110" s="180">
        <f t="shared" si="7"/>
        <v>0</v>
      </c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</row>
    <row r="111">
      <c r="A111" s="179">
        <f>IF(and(D111&gt;='TTP Tracker 26'!$C$3,D111&lt;'TTP Tracker 26'!$C$4),1,0)</f>
        <v>0</v>
      </c>
      <c r="B111" s="180">
        <f>if(and(D111&gt;TODAY(),D111&lt;'TTP Tracker 26'!$C$4),1,0)</f>
        <v>0</v>
      </c>
      <c r="C111" s="180">
        <f>if('TTP Tracker 26'!$B$2="MONTHLY TOTAL",$A111,$B111)</f>
        <v>0</v>
      </c>
      <c r="D111" s="181">
        <v>45984.0</v>
      </c>
      <c r="E111" s="180" t="s">
        <v>210</v>
      </c>
      <c r="F111" s="180">
        <f t="shared" si="7"/>
        <v>0</v>
      </c>
      <c r="H111" s="180"/>
      <c r="I111" s="180"/>
      <c r="J111" s="180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</row>
    <row r="112">
      <c r="A112" s="179">
        <f>IF(and(D112&gt;='TTP Tracker 26'!$C$3,D112&lt;'TTP Tracker 26'!$C$4),1,0)</f>
        <v>0</v>
      </c>
      <c r="B112" s="180">
        <f>if(and(D112&gt;TODAY(),D112&lt;'TTP Tracker 26'!$C$4),1,0)</f>
        <v>0</v>
      </c>
      <c r="C112" s="180">
        <f>if('TTP Tracker 26'!$B$2="MONTHLY TOTAL",$A112,$B112)</f>
        <v>0</v>
      </c>
      <c r="D112" s="181">
        <v>45985.0</v>
      </c>
      <c r="E112" s="180" t="s">
        <v>211</v>
      </c>
      <c r="F112" s="180">
        <f t="shared" si="7"/>
        <v>0</v>
      </c>
      <c r="G112" s="177"/>
      <c r="H112" s="177"/>
      <c r="I112" s="177"/>
      <c r="J112" s="177"/>
      <c r="K112" s="177"/>
      <c r="L112" s="177"/>
      <c r="M112" s="180">
        <f>if('TTP Tracker 26'!$B$2="MONTHLY TOTAL",$A112,$B112)</f>
        <v>0</v>
      </c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177"/>
      <c r="AI112" s="177"/>
    </row>
    <row r="113">
      <c r="A113" s="179">
        <f>IF(and(D113&gt;='TTP Tracker 26'!$C$3,D113&lt;'TTP Tracker 26'!$C$4),1,0)</f>
        <v>0</v>
      </c>
      <c r="B113" s="180">
        <f>if(and(D113&gt;TODAY(),D113&lt;'TTP Tracker 26'!$C$4),1,0)</f>
        <v>0</v>
      </c>
      <c r="C113" s="180">
        <f>if('TTP Tracker 26'!$B$2="MONTHLY TOTAL",$A113,$B113)</f>
        <v>0</v>
      </c>
      <c r="D113" s="181">
        <v>45986.0</v>
      </c>
      <c r="E113" s="180" t="s">
        <v>212</v>
      </c>
      <c r="F113" s="180">
        <f t="shared" si="7"/>
        <v>0</v>
      </c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  <c r="AH113" s="177"/>
      <c r="AI113" s="177"/>
    </row>
    <row r="114">
      <c r="A114" s="179">
        <f>IF(and(D114&gt;='TTP Tracker 26'!$C$3,D114&lt;'TTP Tracker 26'!$C$4),1,0)</f>
        <v>0</v>
      </c>
      <c r="B114" s="180">
        <f>if(and(D114&gt;TODAY(),D114&lt;'TTP Tracker 26'!$C$4),1,0)</f>
        <v>0</v>
      </c>
      <c r="C114" s="180">
        <f>if('TTP Tracker 26'!$B$2="MONTHLY TOTAL",$A114,$B114)</f>
        <v>0</v>
      </c>
      <c r="D114" s="181">
        <v>45987.0</v>
      </c>
      <c r="E114" s="180" t="s">
        <v>213</v>
      </c>
      <c r="F114" s="180">
        <f t="shared" si="7"/>
        <v>0</v>
      </c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  <c r="AH114" s="177"/>
      <c r="AI114" s="177"/>
    </row>
    <row r="115">
      <c r="A115" s="179">
        <f>IF(and(D115&gt;='TTP Tracker 26'!$C$3,D115&lt;'TTP Tracker 26'!$C$4),1,0)</f>
        <v>0</v>
      </c>
      <c r="B115" s="180">
        <f>if(and(D115&gt;TODAY(),D115&lt;'TTP Tracker 26'!$C$4),1,0)</f>
        <v>0</v>
      </c>
      <c r="C115" s="180">
        <f>if('TTP Tracker 26'!$B$2="MONTHLY TOTAL",$A115,$B115)</f>
        <v>0</v>
      </c>
      <c r="D115" s="181">
        <v>45988.0</v>
      </c>
      <c r="E115" s="180" t="s">
        <v>207</v>
      </c>
      <c r="F115" s="180">
        <f t="shared" si="7"/>
        <v>0</v>
      </c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77"/>
      <c r="AG115" s="177"/>
      <c r="AH115" s="177"/>
      <c r="AI115" s="177"/>
    </row>
    <row r="116">
      <c r="A116" s="179">
        <f>IF(and(D116&gt;='TTP Tracker 26'!$C$3,D116&lt;'TTP Tracker 26'!$C$4),1,0)</f>
        <v>0</v>
      </c>
      <c r="B116" s="180">
        <f>if(and(D116&gt;TODAY(),D116&lt;'TTP Tracker 26'!$C$4),1,0)</f>
        <v>0</v>
      </c>
      <c r="C116" s="180">
        <f>if('TTP Tracker 26'!$B$2="MONTHLY TOTAL",$A116,$B116)</f>
        <v>0</v>
      </c>
      <c r="D116" s="181">
        <v>45989.0</v>
      </c>
      <c r="E116" s="180" t="s">
        <v>208</v>
      </c>
      <c r="F116" s="180">
        <f t="shared" si="7"/>
        <v>0</v>
      </c>
      <c r="G116" s="180">
        <f>if('TTP Tracker 26'!$B$2="MONTHLY TOTAL",$A116,$B116)</f>
        <v>0</v>
      </c>
      <c r="H116" s="180"/>
      <c r="I116" s="180"/>
      <c r="J116" s="180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77"/>
      <c r="AG116" s="177"/>
      <c r="AH116" s="177"/>
      <c r="AI116" s="177"/>
    </row>
    <row r="117">
      <c r="A117" s="179">
        <f>IF(and(D117&gt;='TTP Tracker 26'!$C$3,D117&lt;'TTP Tracker 26'!$C$4),1,0)</f>
        <v>0</v>
      </c>
      <c r="B117" s="180">
        <f>if(and(D117&gt;TODAY(),D117&lt;'TTP Tracker 26'!$C$4),1,0)</f>
        <v>0</v>
      </c>
      <c r="C117" s="180">
        <f>if('TTP Tracker 26'!$B$2="MONTHLY TOTAL",$A117,$B117)</f>
        <v>0</v>
      </c>
      <c r="D117" s="181">
        <v>45990.0</v>
      </c>
      <c r="E117" s="180" t="s">
        <v>209</v>
      </c>
      <c r="F117" s="180">
        <f t="shared" si="7"/>
        <v>0</v>
      </c>
      <c r="G117" s="177"/>
      <c r="H117" s="177"/>
      <c r="I117" s="177"/>
      <c r="J117" s="177"/>
      <c r="K117" s="180">
        <f>if('TTP Tracker 26'!$B$2="MONTHLY TOTAL",$A117,$B117)</f>
        <v>0</v>
      </c>
      <c r="L117" s="180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77"/>
      <c r="AG117" s="177"/>
      <c r="AH117" s="177"/>
      <c r="AI117" s="177"/>
    </row>
    <row r="118">
      <c r="A118" s="179">
        <f>IF(and(D118&gt;='TTP Tracker 26'!$C$3,D118&lt;'TTP Tracker 26'!$C$4),1,0)</f>
        <v>0</v>
      </c>
      <c r="B118" s="180">
        <f>if(and(D118&gt;TODAY(),D118&lt;'TTP Tracker 26'!$C$4),1,0)</f>
        <v>0</v>
      </c>
      <c r="C118" s="180">
        <f>if('TTP Tracker 26'!$B$2="MONTHLY TOTAL",$A118,$B118)</f>
        <v>0</v>
      </c>
      <c r="D118" s="181">
        <v>45991.0</v>
      </c>
      <c r="E118" s="180" t="s">
        <v>210</v>
      </c>
      <c r="F118" s="180">
        <f t="shared" si="7"/>
        <v>0</v>
      </c>
      <c r="G118" s="180"/>
      <c r="H118" s="180"/>
      <c r="I118" s="180"/>
      <c r="J118" s="180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77"/>
      <c r="AG118" s="177"/>
      <c r="AH118" s="177"/>
      <c r="AI118" s="177"/>
    </row>
    <row r="119">
      <c r="A119" s="179">
        <f>IF(and(D119&gt;='TTP Tracker 26'!$C$3,D119&lt;'TTP Tracker 26'!$C$4),1,0)</f>
        <v>0</v>
      </c>
      <c r="B119" s="180">
        <f>if(and(D119&gt;TODAY(),D119&lt;'TTP Tracker 26'!$C$4),1,0)</f>
        <v>0</v>
      </c>
      <c r="C119" s="180">
        <f>if('TTP Tracker 26'!$B$2="MONTHLY TOTAL",$A119,$B119)</f>
        <v>0</v>
      </c>
      <c r="D119" s="181">
        <v>45992.0</v>
      </c>
      <c r="E119" s="180" t="s">
        <v>211</v>
      </c>
      <c r="F119" s="180">
        <f t="shared" si="7"/>
        <v>0</v>
      </c>
      <c r="G119" s="177"/>
      <c r="H119" s="177"/>
      <c r="I119" s="177"/>
      <c r="J119" s="177"/>
      <c r="L119" s="180">
        <f>if('TTP Tracker 26'!$B$2="MONTHLY TOTAL",$A119,$B119)</f>
        <v>0</v>
      </c>
      <c r="M119" s="180">
        <f>if('TTP Tracker 26'!$B$2="MONTHLY TOTAL",$A119,$B119)</f>
        <v>0</v>
      </c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77"/>
      <c r="AG119" s="177"/>
      <c r="AH119" s="177"/>
      <c r="AI119" s="177"/>
    </row>
    <row r="120">
      <c r="A120" s="179">
        <f>IF(and(D120&gt;='TTP Tracker 26'!$C$3,D120&lt;'TTP Tracker 26'!$C$4),1,0)</f>
        <v>0</v>
      </c>
      <c r="B120" s="180">
        <f>if(and(D120&gt;TODAY(),D120&lt;'TTP Tracker 26'!$C$4),1,0)</f>
        <v>0</v>
      </c>
      <c r="C120" s="180">
        <f>if('TTP Tracker 26'!$B$2="MONTHLY TOTAL",$A120,$B120)</f>
        <v>0</v>
      </c>
      <c r="D120" s="181">
        <v>45993.0</v>
      </c>
      <c r="E120" s="180" t="s">
        <v>212</v>
      </c>
      <c r="F120" s="180">
        <f t="shared" si="7"/>
        <v>0</v>
      </c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77"/>
      <c r="AG120" s="177"/>
      <c r="AH120" s="177"/>
      <c r="AI120" s="177"/>
    </row>
    <row r="121">
      <c r="A121" s="179">
        <f>IF(and(D121&gt;='TTP Tracker 26'!$C$3,D121&lt;'TTP Tracker 26'!$C$4),1,0)</f>
        <v>0</v>
      </c>
      <c r="B121" s="180">
        <f>if(and(D121&gt;TODAY(),D121&lt;'TTP Tracker 26'!$C$4),1,0)</f>
        <v>0</v>
      </c>
      <c r="C121" s="180">
        <f>if('TTP Tracker 26'!$B$2="MONTHLY TOTAL",$A121,$B121)</f>
        <v>0</v>
      </c>
      <c r="D121" s="181">
        <v>45994.0</v>
      </c>
      <c r="E121" s="180" t="s">
        <v>213</v>
      </c>
      <c r="F121" s="180">
        <f t="shared" si="7"/>
        <v>0</v>
      </c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/>
      <c r="AH121" s="177"/>
      <c r="AI121" s="177"/>
    </row>
    <row r="122">
      <c r="A122" s="179">
        <f>IF(and(D122&gt;='TTP Tracker 26'!$C$3,D122&lt;'TTP Tracker 26'!$C$4),1,0)</f>
        <v>0</v>
      </c>
      <c r="B122" s="180">
        <f>if(and(D122&gt;TODAY(),D122&lt;'TTP Tracker 26'!$C$4),1,0)</f>
        <v>0</v>
      </c>
      <c r="C122" s="180">
        <f>if('TTP Tracker 26'!$B$2="MONTHLY TOTAL",$A122,$B122)</f>
        <v>0</v>
      </c>
      <c r="D122" s="181">
        <v>45995.0</v>
      </c>
      <c r="E122" s="180" t="s">
        <v>207</v>
      </c>
      <c r="F122" s="180">
        <f t="shared" si="7"/>
        <v>0</v>
      </c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</row>
    <row r="123">
      <c r="A123" s="179">
        <f>IF(and(D123&gt;='TTP Tracker 26'!$C$3,D123&lt;'TTP Tracker 26'!$C$4),1,0)</f>
        <v>0</v>
      </c>
      <c r="B123" s="180">
        <f>if(and(D123&gt;TODAY(),D123&lt;'TTP Tracker 26'!$C$4),1,0)</f>
        <v>0</v>
      </c>
      <c r="C123" s="180">
        <f>if('TTP Tracker 26'!$B$2="MONTHLY TOTAL",$A123,$B123)</f>
        <v>0</v>
      </c>
      <c r="D123" s="181">
        <v>45996.0</v>
      </c>
      <c r="E123" s="180" t="s">
        <v>208</v>
      </c>
      <c r="F123" s="180">
        <f t="shared" si="7"/>
        <v>0</v>
      </c>
      <c r="G123" s="180"/>
      <c r="H123" s="180"/>
      <c r="I123" s="180">
        <f>if('TTP Tracker 26'!$B$2="MONTHLY TOTAL",$A123,$B123)</f>
        <v>0</v>
      </c>
      <c r="J123" s="180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</row>
    <row r="124">
      <c r="A124" s="179">
        <f>IF(and(D124&gt;='TTP Tracker 26'!$C$3,D124&lt;'TTP Tracker 26'!$C$4),1,0)</f>
        <v>0</v>
      </c>
      <c r="B124" s="180">
        <f>if(and(D124&gt;TODAY(),D124&lt;'TTP Tracker 26'!$C$4),1,0)</f>
        <v>0</v>
      </c>
      <c r="C124" s="180">
        <f>if('TTP Tracker 26'!$B$2="MONTHLY TOTAL",$A124,$B124)</f>
        <v>0</v>
      </c>
      <c r="D124" s="181">
        <v>45997.0</v>
      </c>
      <c r="E124" s="180" t="s">
        <v>209</v>
      </c>
      <c r="F124" s="180">
        <f t="shared" si="7"/>
        <v>0</v>
      </c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</row>
    <row r="125">
      <c r="A125" s="179">
        <f>IF(and(D125&gt;='TTP Tracker 26'!$C$3,D125&lt;'TTP Tracker 26'!$C$4),1,0)</f>
        <v>0</v>
      </c>
      <c r="B125" s="180">
        <f>if(and(D125&gt;TODAY(),D125&lt;'TTP Tracker 26'!$C$4),1,0)</f>
        <v>0</v>
      </c>
      <c r="C125" s="180">
        <f>if('TTP Tracker 26'!$B$2="MONTHLY TOTAL",$A125,$B125)</f>
        <v>0</v>
      </c>
      <c r="D125" s="181">
        <v>45998.0</v>
      </c>
      <c r="E125" s="180" t="s">
        <v>210</v>
      </c>
      <c r="F125" s="180">
        <f t="shared" si="7"/>
        <v>0</v>
      </c>
      <c r="H125" s="180"/>
      <c r="I125" s="180"/>
      <c r="J125" s="180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</row>
    <row r="126">
      <c r="A126" s="179">
        <f>IF(and(D126&gt;='TTP Tracker 26'!$C$3,D126&lt;'TTP Tracker 26'!$C$4),1,0)</f>
        <v>0</v>
      </c>
      <c r="B126" s="180">
        <f>if(and(D126&gt;TODAY(),D126&lt;'TTP Tracker 26'!$C$4),1,0)</f>
        <v>0</v>
      </c>
      <c r="C126" s="180">
        <f>if('TTP Tracker 26'!$B$2="MONTHLY TOTAL",$A126,$B126)</f>
        <v>0</v>
      </c>
      <c r="D126" s="181">
        <v>45999.0</v>
      </c>
      <c r="E126" s="180" t="s">
        <v>211</v>
      </c>
      <c r="F126" s="180">
        <f t="shared" si="7"/>
        <v>0</v>
      </c>
      <c r="G126" s="177"/>
      <c r="H126" s="177"/>
      <c r="I126" s="177"/>
      <c r="J126" s="177"/>
      <c r="K126" s="177"/>
      <c r="L126" s="177"/>
      <c r="M126" s="180">
        <f>if('TTP Tracker 26'!$B$2="MONTHLY TOTAL",$A126,$B126)</f>
        <v>0</v>
      </c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</row>
    <row r="127">
      <c r="A127" s="179">
        <f>IF(and(D127&gt;='TTP Tracker 26'!$C$3,D127&lt;'TTP Tracker 26'!$C$4),1,0)</f>
        <v>0</v>
      </c>
      <c r="B127" s="180">
        <f>if(and(D127&gt;TODAY(),D127&lt;'TTP Tracker 26'!$C$4),1,0)</f>
        <v>0</v>
      </c>
      <c r="C127" s="180">
        <f>if('TTP Tracker 26'!$B$2="MONTHLY TOTAL",$A127,$B127)</f>
        <v>0</v>
      </c>
      <c r="D127" s="181">
        <v>46000.0</v>
      </c>
      <c r="E127" s="180" t="s">
        <v>212</v>
      </c>
      <c r="F127" s="180">
        <f t="shared" si="7"/>
        <v>0</v>
      </c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</row>
    <row r="128">
      <c r="A128" s="179">
        <f>IF(and(D128&gt;='TTP Tracker 26'!$C$3,D128&lt;'TTP Tracker 26'!$C$4),1,0)</f>
        <v>0</v>
      </c>
      <c r="B128" s="180">
        <f>if(and(D128&gt;TODAY(),D128&lt;'TTP Tracker 26'!$C$4),1,0)</f>
        <v>0</v>
      </c>
      <c r="C128" s="180">
        <f>if('TTP Tracker 26'!$B$2="MONTHLY TOTAL",$A128,$B128)</f>
        <v>0</v>
      </c>
      <c r="D128" s="181">
        <v>46001.0</v>
      </c>
      <c r="E128" s="180" t="s">
        <v>213</v>
      </c>
      <c r="F128" s="180">
        <f t="shared" si="7"/>
        <v>0</v>
      </c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</row>
    <row r="129">
      <c r="A129" s="179">
        <f>IF(and(D129&gt;='TTP Tracker 26'!$C$3,D129&lt;'TTP Tracker 26'!$C$4),1,0)</f>
        <v>0</v>
      </c>
      <c r="B129" s="180">
        <f>if(and(D129&gt;TODAY(),D129&lt;'TTP Tracker 26'!$C$4),1,0)</f>
        <v>0</v>
      </c>
      <c r="C129" s="180">
        <f>if('TTP Tracker 26'!$B$2="MONTHLY TOTAL",$A129,$B129)</f>
        <v>0</v>
      </c>
      <c r="D129" s="181">
        <v>46002.0</v>
      </c>
      <c r="E129" s="180" t="s">
        <v>207</v>
      </c>
      <c r="F129" s="180">
        <f t="shared" si="7"/>
        <v>0</v>
      </c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</row>
    <row r="130">
      <c r="A130" s="179">
        <f>IF(and(D130&gt;='TTP Tracker 26'!$C$3,D130&lt;'TTP Tracker 26'!$C$4),1,0)</f>
        <v>0</v>
      </c>
      <c r="B130" s="180">
        <f>if(and(D130&gt;TODAY(),D130&lt;'TTP Tracker 26'!$C$4),1,0)</f>
        <v>0</v>
      </c>
      <c r="C130" s="180">
        <f>if('TTP Tracker 26'!$B$2="MONTHLY TOTAL",$A130,$B130)</f>
        <v>0</v>
      </c>
      <c r="D130" s="181">
        <v>46003.0</v>
      </c>
      <c r="E130" s="180" t="s">
        <v>208</v>
      </c>
      <c r="F130" s="180">
        <f t="shared" si="7"/>
        <v>0</v>
      </c>
      <c r="G130" s="180">
        <f>if('TTP Tracker 26'!$B$2="MONTHLY TOTAL",$A130,$B130)</f>
        <v>0</v>
      </c>
      <c r="H130" s="180"/>
      <c r="I130" s="180"/>
      <c r="J130" s="180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</row>
    <row r="131">
      <c r="A131" s="179">
        <f>IF(and(D131&gt;='TTP Tracker 26'!$C$3,D131&lt;'TTP Tracker 26'!$C$4),1,0)</f>
        <v>0</v>
      </c>
      <c r="B131" s="180">
        <f>if(and(D131&gt;TODAY(),D131&lt;'TTP Tracker 26'!$C$4),1,0)</f>
        <v>0</v>
      </c>
      <c r="C131" s="180">
        <f>if('TTP Tracker 26'!$B$2="MONTHLY TOTAL",$A131,$B131)</f>
        <v>0</v>
      </c>
      <c r="D131" s="181">
        <v>46004.0</v>
      </c>
      <c r="E131" s="180" t="s">
        <v>209</v>
      </c>
      <c r="F131" s="180">
        <f t="shared" si="7"/>
        <v>0</v>
      </c>
      <c r="G131" s="177"/>
      <c r="H131" s="177"/>
      <c r="I131" s="177"/>
      <c r="J131" s="177"/>
      <c r="K131" s="180">
        <f>if('TTP Tracker 26'!$B$2="MONTHLY TOTAL",$A131,$B131)</f>
        <v>0</v>
      </c>
      <c r="L131" s="180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  <c r="AE131" s="177"/>
      <c r="AF131" s="177"/>
      <c r="AG131" s="177"/>
      <c r="AH131" s="177"/>
      <c r="AI131" s="177"/>
    </row>
    <row r="132">
      <c r="A132" s="179">
        <f>IF(and(D132&gt;='TTP Tracker 26'!$C$3,D132&lt;'TTP Tracker 26'!$C$4),1,0)</f>
        <v>0</v>
      </c>
      <c r="B132" s="180">
        <f>if(and(D132&gt;TODAY(),D132&lt;'TTP Tracker 26'!$C$4),1,0)</f>
        <v>0</v>
      </c>
      <c r="C132" s="180">
        <f>if('TTP Tracker 26'!$B$2="MONTHLY TOTAL",$A132,$B132)</f>
        <v>0</v>
      </c>
      <c r="D132" s="181">
        <v>46005.0</v>
      </c>
      <c r="E132" s="180" t="s">
        <v>210</v>
      </c>
      <c r="F132" s="180">
        <f t="shared" si="7"/>
        <v>0</v>
      </c>
      <c r="G132" s="180"/>
      <c r="H132" s="180"/>
      <c r="I132" s="180"/>
      <c r="J132" s="180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  <c r="AE132" s="177"/>
      <c r="AF132" s="177"/>
      <c r="AG132" s="177"/>
      <c r="AH132" s="177"/>
      <c r="AI132" s="177"/>
    </row>
    <row r="133">
      <c r="A133" s="179">
        <f>IF(and(D133&gt;='TTP Tracker 26'!$C$3,D133&lt;'TTP Tracker 26'!$C$4),1,0)</f>
        <v>0</v>
      </c>
      <c r="B133" s="180">
        <f>if(and(D133&gt;TODAY(),D133&lt;'TTP Tracker 26'!$C$4),1,0)</f>
        <v>0</v>
      </c>
      <c r="C133" s="180">
        <f>if('TTP Tracker 26'!$B$2="MONTHLY TOTAL",$A133,$B133)</f>
        <v>0</v>
      </c>
      <c r="D133" s="181">
        <v>46006.0</v>
      </c>
      <c r="E133" s="180" t="s">
        <v>211</v>
      </c>
      <c r="F133" s="180">
        <f t="shared" si="7"/>
        <v>0</v>
      </c>
      <c r="G133" s="177"/>
      <c r="H133" s="177"/>
      <c r="I133" s="177"/>
      <c r="J133" s="177"/>
      <c r="L133" s="180">
        <f>if('TTP Tracker 26'!$B$2="MONTHLY TOTAL",$A133,$B133)</f>
        <v>0</v>
      </c>
      <c r="M133" s="180">
        <f>if('TTP Tracker 26'!$B$2="MONTHLY TOTAL",$A133,$B133)</f>
        <v>0</v>
      </c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</row>
    <row r="134">
      <c r="A134" s="179">
        <f>IF(and(D134&gt;='TTP Tracker 26'!$C$3,D134&lt;'TTP Tracker 26'!$C$4),1,0)</f>
        <v>0</v>
      </c>
      <c r="B134" s="180">
        <f>if(and(D134&gt;TODAY(),D134&lt;'TTP Tracker 26'!$C$4),1,0)</f>
        <v>0</v>
      </c>
      <c r="C134" s="180">
        <f>if('TTP Tracker 26'!$B$2="MONTHLY TOTAL",$A134,$B134)</f>
        <v>0</v>
      </c>
      <c r="D134" s="181">
        <v>46007.0</v>
      </c>
      <c r="E134" s="180" t="s">
        <v>212</v>
      </c>
      <c r="F134" s="180">
        <f t="shared" si="7"/>
        <v>0</v>
      </c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</row>
    <row r="135">
      <c r="A135" s="179">
        <f>IF(and(D135&gt;='TTP Tracker 26'!$C$3,D135&lt;'TTP Tracker 26'!$C$4),1,0)</f>
        <v>0</v>
      </c>
      <c r="B135" s="180">
        <f>if(and(D135&gt;TODAY(),D135&lt;'TTP Tracker 26'!$C$4),1,0)</f>
        <v>0</v>
      </c>
      <c r="C135" s="180">
        <f>if('TTP Tracker 26'!$B$2="MONTHLY TOTAL",$A135,$B135)</f>
        <v>0</v>
      </c>
      <c r="D135" s="181">
        <v>46008.0</v>
      </c>
      <c r="E135" s="180" t="s">
        <v>213</v>
      </c>
      <c r="F135" s="180">
        <f t="shared" si="7"/>
        <v>0</v>
      </c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</row>
    <row r="136">
      <c r="A136" s="179">
        <f>IF(and(D136&gt;='TTP Tracker 26'!$C$3,D136&lt;'TTP Tracker 26'!$C$4),1,0)</f>
        <v>0</v>
      </c>
      <c r="B136" s="180">
        <f>if(and(D136&gt;TODAY(),D136&lt;'TTP Tracker 26'!$C$4),1,0)</f>
        <v>0</v>
      </c>
      <c r="C136" s="180">
        <f>if('TTP Tracker 26'!$B$2="MONTHLY TOTAL",$A136,$B136)</f>
        <v>0</v>
      </c>
      <c r="D136" s="181">
        <v>46009.0</v>
      </c>
      <c r="E136" s="180" t="s">
        <v>207</v>
      </c>
      <c r="F136" s="180">
        <f t="shared" si="7"/>
        <v>0</v>
      </c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</row>
    <row r="137">
      <c r="A137" s="179">
        <f>IF(and(D137&gt;='TTP Tracker 26'!$C$3,D137&lt;'TTP Tracker 26'!$C$4),1,0)</f>
        <v>0</v>
      </c>
      <c r="B137" s="180">
        <f>if(and(D137&gt;TODAY(),D137&lt;'TTP Tracker 26'!$C$4),1,0)</f>
        <v>0</v>
      </c>
      <c r="C137" s="180">
        <f>if('TTP Tracker 26'!$B$2="MONTHLY TOTAL",$A137,$B137)</f>
        <v>0</v>
      </c>
      <c r="D137" s="181">
        <v>46010.0</v>
      </c>
      <c r="E137" s="180" t="s">
        <v>208</v>
      </c>
      <c r="F137" s="180">
        <f t="shared" si="7"/>
        <v>0</v>
      </c>
      <c r="G137" s="180"/>
      <c r="H137" s="180"/>
      <c r="I137" s="180">
        <f>if('TTP Tracker 26'!$B$2="MONTHLY TOTAL",$A137,$B137)</f>
        <v>0</v>
      </c>
      <c r="J137" s="180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</row>
    <row r="138">
      <c r="A138" s="179">
        <f>IF(and(D138&gt;='TTP Tracker 26'!$C$3,D138&lt;'TTP Tracker 26'!$C$4),1,0)</f>
        <v>0</v>
      </c>
      <c r="B138" s="180">
        <f>if(and(D138&gt;TODAY(),D138&lt;'TTP Tracker 26'!$C$4),1,0)</f>
        <v>0</v>
      </c>
      <c r="C138" s="180">
        <f>if('TTP Tracker 26'!$B$2="MONTHLY TOTAL",$A138,$B138)</f>
        <v>0</v>
      </c>
      <c r="D138" s="181">
        <v>46011.0</v>
      </c>
      <c r="E138" s="180" t="s">
        <v>209</v>
      </c>
      <c r="F138" s="180">
        <f t="shared" si="7"/>
        <v>0</v>
      </c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</row>
    <row r="139">
      <c r="A139" s="179">
        <f>IF(and(D139&gt;='TTP Tracker 26'!$C$3,D139&lt;'TTP Tracker 26'!$C$4),1,0)</f>
        <v>0</v>
      </c>
      <c r="B139" s="180">
        <f>if(and(D139&gt;TODAY(),D139&lt;'TTP Tracker 26'!$C$4),1,0)</f>
        <v>0</v>
      </c>
      <c r="C139" s="180">
        <f>if('TTP Tracker 26'!$B$2="MONTHLY TOTAL",$A139,$B139)</f>
        <v>0</v>
      </c>
      <c r="D139" s="181">
        <v>46012.0</v>
      </c>
      <c r="E139" s="180" t="s">
        <v>210</v>
      </c>
      <c r="F139" s="180">
        <f t="shared" si="7"/>
        <v>0</v>
      </c>
      <c r="H139" s="180"/>
      <c r="I139" s="180"/>
      <c r="J139" s="180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</row>
    <row r="140">
      <c r="A140" s="179">
        <f>IF(and(D140&gt;='TTP Tracker 26'!$C$3,D140&lt;'TTP Tracker 26'!$C$4),1,0)</f>
        <v>0</v>
      </c>
      <c r="B140" s="180">
        <f>if(and(D140&gt;TODAY(),D140&lt;'TTP Tracker 26'!$C$4),1,0)</f>
        <v>0</v>
      </c>
      <c r="C140" s="180">
        <f>if('TTP Tracker 26'!$B$2="MONTHLY TOTAL",$A140,$B140)</f>
        <v>0</v>
      </c>
      <c r="D140" s="181">
        <v>46013.0</v>
      </c>
      <c r="E140" s="180" t="s">
        <v>211</v>
      </c>
      <c r="F140" s="180">
        <f t="shared" si="7"/>
        <v>0</v>
      </c>
      <c r="G140" s="177"/>
      <c r="H140" s="177"/>
      <c r="I140" s="177"/>
      <c r="J140" s="177"/>
      <c r="K140" s="177"/>
      <c r="L140" s="177"/>
      <c r="M140" s="180">
        <f>if('TTP Tracker 26'!$B$2="MONTHLY TOTAL",$A140,$B140)</f>
        <v>0</v>
      </c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</row>
    <row r="141">
      <c r="A141" s="179">
        <f>IF(and(D141&gt;='TTP Tracker 26'!$C$3,D141&lt;'TTP Tracker 26'!$C$4),1,0)</f>
        <v>0</v>
      </c>
      <c r="B141" s="180">
        <f>if(and(D141&gt;TODAY(),D141&lt;'TTP Tracker 26'!$C$4),1,0)</f>
        <v>0</v>
      </c>
      <c r="C141" s="180">
        <f>if('TTP Tracker 26'!$B$2="MONTHLY TOTAL",$A141,$B141)</f>
        <v>0</v>
      </c>
      <c r="D141" s="181">
        <v>46014.0</v>
      </c>
      <c r="E141" s="180" t="s">
        <v>212</v>
      </c>
      <c r="F141" s="180">
        <f t="shared" si="7"/>
        <v>0</v>
      </c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</row>
    <row r="142">
      <c r="A142" s="179">
        <f>IF(and(D142&gt;='TTP Tracker 26'!$C$3,D142&lt;'TTP Tracker 26'!$C$4),1,0)</f>
        <v>0</v>
      </c>
      <c r="B142" s="180">
        <f>if(and(D142&gt;TODAY(),D142&lt;'TTP Tracker 26'!$C$4),1,0)</f>
        <v>0</v>
      </c>
      <c r="C142" s="180">
        <f>if('TTP Tracker 26'!$B$2="MONTHLY TOTAL",$A142,$B142)</f>
        <v>0</v>
      </c>
      <c r="D142" s="181">
        <v>46015.0</v>
      </c>
      <c r="E142" s="180" t="s">
        <v>213</v>
      </c>
      <c r="F142" s="180">
        <f t="shared" si="7"/>
        <v>0</v>
      </c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  <c r="AC142" s="177"/>
      <c r="AD142" s="177"/>
      <c r="AE142" s="177"/>
      <c r="AF142" s="177"/>
      <c r="AG142" s="177"/>
      <c r="AH142" s="177"/>
      <c r="AI142" s="177"/>
    </row>
    <row r="143">
      <c r="A143" s="179">
        <f>IF(and(D143&gt;='TTP Tracker 26'!$C$3,D143&lt;'TTP Tracker 26'!$C$4),1,0)</f>
        <v>0</v>
      </c>
      <c r="B143" s="180">
        <f>if(and(D143&gt;TODAY(),D143&lt;'TTP Tracker 26'!$C$4),1,0)</f>
        <v>0</v>
      </c>
      <c r="C143" s="180">
        <f>if('TTP Tracker 26'!$B$2="MONTHLY TOTAL",$A143,$B143)</f>
        <v>0</v>
      </c>
      <c r="D143" s="181">
        <v>46016.0</v>
      </c>
      <c r="E143" s="180" t="s">
        <v>207</v>
      </c>
      <c r="F143" s="180">
        <f t="shared" si="7"/>
        <v>0</v>
      </c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</row>
    <row r="144">
      <c r="A144" s="179">
        <f>IF(and(D144&gt;='TTP Tracker 26'!$C$3,D144&lt;'TTP Tracker 26'!$C$4),1,0)</f>
        <v>0</v>
      </c>
      <c r="B144" s="180">
        <f>if(and(D144&gt;TODAY(),D144&lt;'TTP Tracker 26'!$C$4),1,0)</f>
        <v>0</v>
      </c>
      <c r="C144" s="180">
        <f>if('TTP Tracker 26'!$B$2="MONTHLY TOTAL",$A144,$B144)</f>
        <v>0</v>
      </c>
      <c r="D144" s="181">
        <v>46017.0</v>
      </c>
      <c r="E144" s="180" t="s">
        <v>208</v>
      </c>
      <c r="F144" s="180">
        <f t="shared" si="7"/>
        <v>0</v>
      </c>
      <c r="G144" s="180">
        <f>if('TTP Tracker 26'!$B$2="MONTHLY TOTAL",$A144,$B144)</f>
        <v>0</v>
      </c>
      <c r="H144" s="180"/>
      <c r="I144" s="180"/>
      <c r="J144" s="180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  <c r="AC144" s="177"/>
      <c r="AD144" s="177"/>
      <c r="AE144" s="177"/>
      <c r="AF144" s="177"/>
      <c r="AG144" s="177"/>
      <c r="AH144" s="177"/>
      <c r="AI144" s="177"/>
    </row>
    <row r="145">
      <c r="A145" s="179">
        <f>IF(and(D145&gt;='TTP Tracker 26'!$C$3,D145&lt;'TTP Tracker 26'!$C$4),1,0)</f>
        <v>0</v>
      </c>
      <c r="B145" s="180">
        <f>if(and(D145&gt;TODAY(),D145&lt;'TTP Tracker 26'!$C$4),1,0)</f>
        <v>0</v>
      </c>
      <c r="C145" s="180">
        <f>if('TTP Tracker 26'!$B$2="MONTHLY TOTAL",$A145,$B145)</f>
        <v>0</v>
      </c>
      <c r="D145" s="181">
        <v>46018.0</v>
      </c>
      <c r="E145" s="180" t="s">
        <v>209</v>
      </c>
      <c r="F145" s="180">
        <f t="shared" si="7"/>
        <v>0</v>
      </c>
      <c r="G145" s="177"/>
      <c r="H145" s="177"/>
      <c r="I145" s="177"/>
      <c r="J145" s="177"/>
      <c r="K145" s="180">
        <f>if('TTP Tracker 26'!$B$2="MONTHLY TOTAL",$A145,$B145)</f>
        <v>0</v>
      </c>
      <c r="L145" s="180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</row>
    <row r="146">
      <c r="A146" s="179">
        <f>IF(and(D146&gt;='TTP Tracker 26'!$C$3,D146&lt;'TTP Tracker 26'!$C$4),1,0)</f>
        <v>0</v>
      </c>
      <c r="B146" s="180">
        <f>if(and(D146&gt;TODAY(),D146&lt;'TTP Tracker 26'!$C$4),1,0)</f>
        <v>0</v>
      </c>
      <c r="C146" s="180">
        <f>if('TTP Tracker 26'!$B$2="MONTHLY TOTAL",$A146,$B146)</f>
        <v>0</v>
      </c>
      <c r="D146" s="181">
        <v>46019.0</v>
      </c>
      <c r="E146" s="180" t="s">
        <v>210</v>
      </c>
      <c r="F146" s="180">
        <f t="shared" si="7"/>
        <v>0</v>
      </c>
      <c r="G146" s="180"/>
      <c r="H146" s="180"/>
      <c r="I146" s="180"/>
      <c r="J146" s="180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  <c r="AC146" s="177"/>
      <c r="AD146" s="177"/>
      <c r="AE146" s="177"/>
      <c r="AF146" s="177"/>
      <c r="AG146" s="177"/>
      <c r="AH146" s="177"/>
      <c r="AI146" s="177"/>
    </row>
    <row r="147">
      <c r="A147" s="179">
        <f>IF(and(D147&gt;='TTP Tracker 26'!$C$3,D147&lt;'TTP Tracker 26'!$C$4),1,0)</f>
        <v>0</v>
      </c>
      <c r="B147" s="180">
        <f>if(and(D147&gt;TODAY(),D147&lt;'TTP Tracker 26'!$C$4),1,0)</f>
        <v>0</v>
      </c>
      <c r="C147" s="180">
        <f>if('TTP Tracker 26'!$B$2="MONTHLY TOTAL",$A147,$B147)</f>
        <v>0</v>
      </c>
      <c r="D147" s="181">
        <v>46020.0</v>
      </c>
      <c r="E147" s="180" t="s">
        <v>211</v>
      </c>
      <c r="F147" s="180">
        <f t="shared" si="7"/>
        <v>0</v>
      </c>
      <c r="G147" s="177"/>
      <c r="H147" s="177"/>
      <c r="I147" s="177"/>
      <c r="J147" s="177"/>
      <c r="L147" s="180">
        <f>if('TTP Tracker 26'!$B$2="MONTHLY TOTAL",$A147,$B147)</f>
        <v>0</v>
      </c>
      <c r="M147" s="180">
        <f>if('TTP Tracker 26'!$B$2="MONTHLY TOTAL",$A147,$B147)</f>
        <v>0</v>
      </c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  <c r="AC147" s="177"/>
      <c r="AD147" s="177"/>
      <c r="AE147" s="177"/>
      <c r="AF147" s="177"/>
      <c r="AG147" s="177"/>
      <c r="AH147" s="177"/>
      <c r="AI147" s="177"/>
    </row>
    <row r="148">
      <c r="A148" s="179">
        <f>IF(and(D148&gt;='TTP Tracker 26'!$C$3,D148&lt;'TTP Tracker 26'!$C$4),1,0)</f>
        <v>0</v>
      </c>
      <c r="B148" s="180">
        <f>if(and(D148&gt;TODAY(),D148&lt;'TTP Tracker 26'!$C$4),1,0)</f>
        <v>0</v>
      </c>
      <c r="C148" s="180">
        <f>if('TTP Tracker 26'!$B$2="MONTHLY TOTAL",$A148,$B148)</f>
        <v>0</v>
      </c>
      <c r="D148" s="181">
        <v>46021.0</v>
      </c>
      <c r="E148" s="180" t="s">
        <v>212</v>
      </c>
      <c r="F148" s="180">
        <f t="shared" si="7"/>
        <v>0</v>
      </c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</row>
    <row r="149">
      <c r="A149" s="179">
        <f>IF(and(D149&gt;='TTP Tracker 26'!$C$3,D149&lt;'TTP Tracker 26'!$C$4),1,0)</f>
        <v>0</v>
      </c>
      <c r="B149" s="180">
        <f>if(and(D149&gt;TODAY(),D149&lt;'TTP Tracker 26'!$C$4),1,0)</f>
        <v>0</v>
      </c>
      <c r="C149" s="180">
        <f>if('TTP Tracker 26'!$B$2="MONTHLY TOTAL",$A149,$B149)</f>
        <v>0</v>
      </c>
      <c r="D149" s="181">
        <v>46022.0</v>
      </c>
      <c r="E149" s="180" t="s">
        <v>213</v>
      </c>
      <c r="F149" s="180">
        <f t="shared" si="7"/>
        <v>0</v>
      </c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</row>
    <row r="150">
      <c r="A150" s="179">
        <f>IF(and(D150&gt;='TTP Tracker 26'!$C$3,D150&lt;'TTP Tracker 26'!$C$4),1,0)</f>
        <v>0</v>
      </c>
      <c r="B150" s="180">
        <f>if(and(D150&gt;TODAY(),D150&lt;'TTP Tracker 26'!$C$4),1,0)</f>
        <v>0</v>
      </c>
      <c r="C150" s="180">
        <f>if('TTP Tracker 26'!$B$2="MONTHLY TOTAL",$A150,$B150)</f>
        <v>0</v>
      </c>
      <c r="D150" s="181">
        <v>46023.0</v>
      </c>
      <c r="E150" s="180" t="s">
        <v>207</v>
      </c>
      <c r="F150" s="180">
        <f t="shared" si="7"/>
        <v>0</v>
      </c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  <c r="AC150" s="177"/>
      <c r="AD150" s="177"/>
      <c r="AE150" s="177"/>
      <c r="AF150" s="177"/>
      <c r="AG150" s="177"/>
      <c r="AH150" s="177"/>
      <c r="AI150" s="177"/>
    </row>
    <row r="151">
      <c r="A151" s="179">
        <f>IF(and(D151&gt;='TTP Tracker 26'!$C$3,D151&lt;'TTP Tracker 26'!$C$4),1,0)</f>
        <v>0</v>
      </c>
      <c r="B151" s="180">
        <f>if(and(D151&gt;TODAY(),D151&lt;'TTP Tracker 26'!$C$4),1,0)</f>
        <v>0</v>
      </c>
      <c r="C151" s="180">
        <f>if('TTP Tracker 26'!$B$2="MONTHLY TOTAL",$A151,$B151)</f>
        <v>0</v>
      </c>
      <c r="D151" s="181">
        <v>46024.0</v>
      </c>
      <c r="E151" s="180" t="s">
        <v>208</v>
      </c>
      <c r="F151" s="180">
        <f t="shared" si="7"/>
        <v>0</v>
      </c>
      <c r="G151" s="180"/>
      <c r="H151" s="180"/>
      <c r="I151" s="180">
        <f>if('TTP Tracker 26'!$B$2="MONTHLY TOTAL",$A151,$B151)</f>
        <v>0</v>
      </c>
      <c r="J151" s="180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</row>
    <row r="152">
      <c r="A152" s="179">
        <f>IF(and(D152&gt;='TTP Tracker 26'!$C$3,D152&lt;'TTP Tracker 26'!$C$4),1,0)</f>
        <v>0</v>
      </c>
      <c r="B152" s="180">
        <f>if(and(D152&gt;TODAY(),D152&lt;'TTP Tracker 26'!$C$4),1,0)</f>
        <v>0</v>
      </c>
      <c r="C152" s="180">
        <f>if('TTP Tracker 26'!$B$2="MONTHLY TOTAL",$A152,$B152)</f>
        <v>0</v>
      </c>
      <c r="D152" s="181">
        <v>46025.0</v>
      </c>
      <c r="E152" s="180" t="s">
        <v>209</v>
      </c>
      <c r="F152" s="180">
        <f t="shared" si="7"/>
        <v>0</v>
      </c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77"/>
      <c r="AD152" s="177"/>
      <c r="AE152" s="177"/>
      <c r="AF152" s="177"/>
      <c r="AG152" s="177"/>
      <c r="AH152" s="177"/>
      <c r="AI152" s="177"/>
    </row>
    <row r="153">
      <c r="A153" s="179">
        <f>IF(and(D153&gt;='TTP Tracker 26'!$C$3,D153&lt;'TTP Tracker 26'!$C$4),1,0)</f>
        <v>0</v>
      </c>
      <c r="B153" s="180">
        <f>if(and(D153&gt;TODAY(),D153&lt;'TTP Tracker 26'!$C$4),1,0)</f>
        <v>0</v>
      </c>
      <c r="C153" s="180">
        <f>if('TTP Tracker 26'!$B$2="MONTHLY TOTAL",$A153,$B153)</f>
        <v>0</v>
      </c>
      <c r="D153" s="181">
        <v>46026.0</v>
      </c>
      <c r="E153" s="180" t="s">
        <v>210</v>
      </c>
      <c r="F153" s="180">
        <f t="shared" si="7"/>
        <v>0</v>
      </c>
      <c r="H153" s="180"/>
      <c r="I153" s="180"/>
      <c r="J153" s="180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  <c r="AE153" s="177"/>
      <c r="AF153" s="177"/>
      <c r="AG153" s="177"/>
      <c r="AH153" s="177"/>
      <c r="AI153" s="177"/>
    </row>
    <row r="154">
      <c r="A154" s="179">
        <f>IF(and(D154&gt;='TTP Tracker 26'!$C$3,D154&lt;'TTP Tracker 26'!$C$4),1,0)</f>
        <v>0</v>
      </c>
      <c r="B154" s="180">
        <f>if(and(D154&gt;TODAY(),D154&lt;'TTP Tracker 26'!$C$4),1,0)</f>
        <v>0</v>
      </c>
      <c r="C154" s="180">
        <f>if('TTP Tracker 26'!$B$2="MONTHLY TOTAL",$A154,$B154)</f>
        <v>0</v>
      </c>
      <c r="D154" s="181">
        <v>46027.0</v>
      </c>
      <c r="E154" s="180" t="s">
        <v>211</v>
      </c>
      <c r="F154" s="180">
        <f t="shared" si="7"/>
        <v>0</v>
      </c>
      <c r="G154" s="177"/>
      <c r="H154" s="177"/>
      <c r="I154" s="177"/>
      <c r="J154" s="177"/>
      <c r="K154" s="177"/>
      <c r="L154" s="177"/>
      <c r="M154" s="180">
        <f>if('TTP Tracker 26'!$B$2="MONTHLY TOTAL",$A154,$B154)</f>
        <v>0</v>
      </c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  <c r="AE154" s="177"/>
      <c r="AF154" s="177"/>
      <c r="AG154" s="177"/>
      <c r="AH154" s="177"/>
      <c r="AI154" s="177"/>
    </row>
    <row r="155">
      <c r="A155" s="179">
        <f>IF(and(D155&gt;='TTP Tracker 26'!$C$3,D155&lt;'TTP Tracker 26'!$C$4),1,0)</f>
        <v>0</v>
      </c>
      <c r="B155" s="180">
        <f>if(and(D155&gt;TODAY(),D155&lt;'TTP Tracker 26'!$C$4),1,0)</f>
        <v>0</v>
      </c>
      <c r="C155" s="180">
        <f>if('TTP Tracker 26'!$B$2="MONTHLY TOTAL",$A155,$B155)</f>
        <v>0</v>
      </c>
      <c r="D155" s="181">
        <v>46028.0</v>
      </c>
      <c r="E155" s="180" t="s">
        <v>212</v>
      </c>
      <c r="F155" s="180">
        <f t="shared" si="7"/>
        <v>0</v>
      </c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</row>
    <row r="156">
      <c r="A156" s="179">
        <f>IF(and(D156&gt;='TTP Tracker 26'!$C$3,D156&lt;'TTP Tracker 26'!$C$4),1,0)</f>
        <v>0</v>
      </c>
      <c r="B156" s="180">
        <f>if(and(D156&gt;TODAY(),D156&lt;'TTP Tracker 26'!$C$4),1,0)</f>
        <v>0</v>
      </c>
      <c r="C156" s="180">
        <f>if('TTP Tracker 26'!$B$2="MONTHLY TOTAL",$A156,$B156)</f>
        <v>0</v>
      </c>
      <c r="D156" s="181">
        <v>46029.0</v>
      </c>
      <c r="E156" s="180" t="s">
        <v>213</v>
      </c>
      <c r="F156" s="180">
        <f t="shared" si="7"/>
        <v>0</v>
      </c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77"/>
      <c r="AD156" s="177"/>
      <c r="AE156" s="177"/>
      <c r="AF156" s="177"/>
      <c r="AG156" s="177"/>
      <c r="AH156" s="177"/>
      <c r="AI156" s="177"/>
    </row>
    <row r="157">
      <c r="A157" s="179">
        <f>IF(and(D157&gt;='TTP Tracker 26'!$C$3,D157&lt;'TTP Tracker 26'!$C$4),1,0)</f>
        <v>0</v>
      </c>
      <c r="B157" s="180">
        <f>if(and(D157&gt;TODAY(),D157&lt;'TTP Tracker 26'!$C$4),1,0)</f>
        <v>0</v>
      </c>
      <c r="C157" s="180">
        <f>if('TTP Tracker 26'!$B$2="MONTHLY TOTAL",$A157,$B157)</f>
        <v>0</v>
      </c>
      <c r="D157" s="181">
        <v>46030.0</v>
      </c>
      <c r="E157" s="180" t="s">
        <v>207</v>
      </c>
      <c r="F157" s="180">
        <f t="shared" si="7"/>
        <v>0</v>
      </c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  <c r="AE157" s="177"/>
      <c r="AF157" s="177"/>
      <c r="AG157" s="177"/>
      <c r="AH157" s="177"/>
      <c r="AI157" s="177"/>
    </row>
    <row r="158">
      <c r="A158" s="179">
        <f>IF(and(D158&gt;='TTP Tracker 26'!$C$3,D158&lt;'TTP Tracker 26'!$C$4),1,0)</f>
        <v>0</v>
      </c>
      <c r="B158" s="180">
        <f>if(and(D158&gt;TODAY(),D158&lt;'TTP Tracker 26'!$C$4),1,0)</f>
        <v>0</v>
      </c>
      <c r="C158" s="180">
        <f>if('TTP Tracker 26'!$B$2="MONTHLY TOTAL",$A158,$B158)</f>
        <v>0</v>
      </c>
      <c r="D158" s="181">
        <v>46031.0</v>
      </c>
      <c r="E158" s="180" t="s">
        <v>208</v>
      </c>
      <c r="F158" s="180">
        <f t="shared" si="7"/>
        <v>0</v>
      </c>
      <c r="G158" s="180">
        <f>if('TTP Tracker 26'!$B$2="MONTHLY TOTAL",$A158,$B158)</f>
        <v>0</v>
      </c>
      <c r="H158" s="180"/>
      <c r="I158" s="180"/>
      <c r="J158" s="180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  <c r="AE158" s="177"/>
      <c r="AF158" s="177"/>
      <c r="AG158" s="177"/>
      <c r="AH158" s="177"/>
      <c r="AI158" s="177"/>
    </row>
    <row r="159">
      <c r="A159" s="179">
        <f>IF(and(D159&gt;='TTP Tracker 26'!$C$3,D159&lt;'TTP Tracker 26'!$C$4),1,0)</f>
        <v>0</v>
      </c>
      <c r="B159" s="180">
        <f>if(and(D159&gt;TODAY(),D159&lt;'TTP Tracker 26'!$C$4),1,0)</f>
        <v>0</v>
      </c>
      <c r="C159" s="180">
        <f>if('TTP Tracker 26'!$B$2="MONTHLY TOTAL",$A159,$B159)</f>
        <v>0</v>
      </c>
      <c r="D159" s="181">
        <v>46032.0</v>
      </c>
      <c r="E159" s="180" t="s">
        <v>209</v>
      </c>
      <c r="F159" s="180">
        <f t="shared" si="7"/>
        <v>0</v>
      </c>
      <c r="G159" s="177"/>
      <c r="H159" s="177"/>
      <c r="I159" s="177"/>
      <c r="J159" s="177"/>
      <c r="K159" s="180">
        <f>if('TTP Tracker 26'!$B$2="MONTHLY TOTAL",$A159,$B159)</f>
        <v>0</v>
      </c>
      <c r="L159" s="180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/>
      <c r="AF159" s="177"/>
      <c r="AG159" s="177"/>
      <c r="AH159" s="177"/>
      <c r="AI159" s="177"/>
    </row>
    <row r="160">
      <c r="A160" s="179">
        <f>IF(and(D160&gt;='TTP Tracker 26'!$C$3,D160&lt;'TTP Tracker 26'!$C$4),1,0)</f>
        <v>0</v>
      </c>
      <c r="B160" s="180">
        <f>if(and(D160&gt;TODAY(),D160&lt;'TTP Tracker 26'!$C$4),1,0)</f>
        <v>0</v>
      </c>
      <c r="C160" s="180">
        <f>if('TTP Tracker 26'!$B$2="MONTHLY TOTAL",$A160,$B160)</f>
        <v>0</v>
      </c>
      <c r="D160" s="181">
        <v>46033.0</v>
      </c>
      <c r="E160" s="180" t="s">
        <v>210</v>
      </c>
      <c r="F160" s="180">
        <f t="shared" si="7"/>
        <v>0</v>
      </c>
      <c r="G160" s="180"/>
      <c r="H160" s="180"/>
      <c r="I160" s="180"/>
      <c r="J160" s="180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77"/>
      <c r="AD160" s="177"/>
      <c r="AE160" s="177"/>
      <c r="AF160" s="177"/>
      <c r="AG160" s="177"/>
      <c r="AH160" s="177"/>
      <c r="AI160" s="177"/>
    </row>
    <row r="161">
      <c r="A161" s="179">
        <f>IF(and(D161&gt;='TTP Tracker 26'!$C$3,D161&lt;'TTP Tracker 26'!$C$4),1,0)</f>
        <v>0</v>
      </c>
      <c r="B161" s="180">
        <f>if(and(D161&gt;TODAY(),D161&lt;'TTP Tracker 26'!$C$4),1,0)</f>
        <v>0</v>
      </c>
      <c r="C161" s="180">
        <f>if('TTP Tracker 26'!$B$2="MONTHLY TOTAL",$A161,$B161)</f>
        <v>0</v>
      </c>
      <c r="D161" s="181">
        <v>46034.0</v>
      </c>
      <c r="E161" s="180" t="s">
        <v>211</v>
      </c>
      <c r="F161" s="180">
        <f t="shared" si="7"/>
        <v>0</v>
      </c>
      <c r="G161" s="177"/>
      <c r="H161" s="177"/>
      <c r="I161" s="177"/>
      <c r="J161" s="177"/>
      <c r="L161" s="180">
        <f>if('TTP Tracker 26'!$B$2="MONTHLY TOTAL",$A161,$B161)</f>
        <v>0</v>
      </c>
      <c r="M161" s="180">
        <f>if('TTP Tracker 26'!$B$2="MONTHLY TOTAL",$A161,$B161)</f>
        <v>0</v>
      </c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  <c r="AE161" s="177"/>
      <c r="AF161" s="177"/>
      <c r="AG161" s="177"/>
      <c r="AH161" s="177"/>
      <c r="AI161" s="177"/>
    </row>
    <row r="162">
      <c r="A162" s="179">
        <f>IF(and(D162&gt;='TTP Tracker 26'!$C$3,D162&lt;'TTP Tracker 26'!$C$4),1,0)</f>
        <v>0</v>
      </c>
      <c r="B162" s="180">
        <f>if(and(D162&gt;TODAY(),D162&lt;'TTP Tracker 26'!$C$4),1,0)</f>
        <v>0</v>
      </c>
      <c r="C162" s="180">
        <f>if('TTP Tracker 26'!$B$2="MONTHLY TOTAL",$A162,$B162)</f>
        <v>0</v>
      </c>
      <c r="D162" s="181">
        <v>46035.0</v>
      </c>
      <c r="E162" s="180" t="s">
        <v>212</v>
      </c>
      <c r="F162" s="180">
        <f t="shared" si="7"/>
        <v>0</v>
      </c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77"/>
      <c r="AD162" s="177"/>
      <c r="AE162" s="177"/>
      <c r="AF162" s="177"/>
      <c r="AG162" s="177"/>
      <c r="AH162" s="177"/>
      <c r="AI162" s="177"/>
    </row>
    <row r="163">
      <c r="A163" s="179">
        <f>IF(and(D163&gt;='TTP Tracker 26'!$C$3,D163&lt;'TTP Tracker 26'!$C$4),1,0)</f>
        <v>0</v>
      </c>
      <c r="B163" s="180">
        <f>if(and(D163&gt;TODAY(),D163&lt;'TTP Tracker 26'!$C$4),1,0)</f>
        <v>0</v>
      </c>
      <c r="C163" s="180">
        <f>if('TTP Tracker 26'!$B$2="MONTHLY TOTAL",$A163,$B163)</f>
        <v>0</v>
      </c>
      <c r="D163" s="181">
        <v>46036.0</v>
      </c>
      <c r="E163" s="180" t="s">
        <v>213</v>
      </c>
      <c r="F163" s="180">
        <f t="shared" si="7"/>
        <v>0</v>
      </c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  <c r="AE163" s="177"/>
      <c r="AF163" s="177"/>
      <c r="AG163" s="177"/>
      <c r="AH163" s="177"/>
      <c r="AI163" s="177"/>
    </row>
    <row r="164">
      <c r="A164" s="179">
        <f>IF(and(D164&gt;='TTP Tracker 26'!$C$3,D164&lt;'TTP Tracker 26'!$C$4),1,0)</f>
        <v>0</v>
      </c>
      <c r="B164" s="180">
        <f>if(and(D164&gt;TODAY(),D164&lt;'TTP Tracker 26'!$C$4),1,0)</f>
        <v>0</v>
      </c>
      <c r="C164" s="180">
        <f>if('TTP Tracker 26'!$B$2="MONTHLY TOTAL",$A164,$B164)</f>
        <v>0</v>
      </c>
      <c r="D164" s="181">
        <v>46037.0</v>
      </c>
      <c r="E164" s="180" t="s">
        <v>207</v>
      </c>
      <c r="F164" s="180">
        <f t="shared" si="7"/>
        <v>0</v>
      </c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  <c r="AC164" s="177"/>
      <c r="AD164" s="177"/>
      <c r="AE164" s="177"/>
      <c r="AF164" s="177"/>
      <c r="AG164" s="177"/>
      <c r="AH164" s="177"/>
      <c r="AI164" s="177"/>
    </row>
    <row r="165">
      <c r="A165" s="179">
        <f>IF(and(D165&gt;='TTP Tracker 26'!$C$3,D165&lt;'TTP Tracker 26'!$C$4),1,0)</f>
        <v>0</v>
      </c>
      <c r="B165" s="180">
        <f>if(and(D165&gt;TODAY(),D165&lt;'TTP Tracker 26'!$C$4),1,0)</f>
        <v>0</v>
      </c>
      <c r="C165" s="180">
        <f>if('TTP Tracker 26'!$B$2="MONTHLY TOTAL",$A165,$B165)</f>
        <v>0</v>
      </c>
      <c r="D165" s="181">
        <v>46038.0</v>
      </c>
      <c r="E165" s="180" t="s">
        <v>208</v>
      </c>
      <c r="F165" s="180">
        <f t="shared" si="7"/>
        <v>0</v>
      </c>
      <c r="G165" s="180"/>
      <c r="H165" s="180"/>
      <c r="I165" s="180">
        <f>if('TTP Tracker 26'!$B$2="MONTHLY TOTAL",$A165,$B165)</f>
        <v>0</v>
      </c>
      <c r="J165" s="180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</row>
    <row r="166">
      <c r="A166" s="179">
        <f>IF(and(D166&gt;='TTP Tracker 26'!$C$3,D166&lt;'TTP Tracker 26'!$C$4),1,0)</f>
        <v>0</v>
      </c>
      <c r="B166" s="180">
        <f>if(and(D166&gt;TODAY(),D166&lt;'TTP Tracker 26'!$C$4),1,0)</f>
        <v>0</v>
      </c>
      <c r="C166" s="180">
        <f>if('TTP Tracker 26'!$B$2="MONTHLY TOTAL",$A166,$B166)</f>
        <v>0</v>
      </c>
      <c r="D166" s="181">
        <v>46039.0</v>
      </c>
      <c r="E166" s="180" t="s">
        <v>209</v>
      </c>
      <c r="F166" s="180">
        <f t="shared" si="7"/>
        <v>0</v>
      </c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177"/>
      <c r="AD166" s="177"/>
      <c r="AE166" s="177"/>
      <c r="AF166" s="177"/>
      <c r="AG166" s="177"/>
      <c r="AH166" s="177"/>
      <c r="AI166" s="177"/>
    </row>
    <row r="167">
      <c r="A167" s="179">
        <f>IF(and(D167&gt;='TTP Tracker 26'!$C$3,D167&lt;'TTP Tracker 26'!$C$4),1,0)</f>
        <v>0</v>
      </c>
      <c r="B167" s="180">
        <f>if(and(D167&gt;TODAY(),D167&lt;'TTP Tracker 26'!$C$4),1,0)</f>
        <v>0</v>
      </c>
      <c r="C167" s="180">
        <f>if('TTP Tracker 26'!$B$2="MONTHLY TOTAL",$A167,$B167)</f>
        <v>0</v>
      </c>
      <c r="D167" s="181">
        <v>46040.0</v>
      </c>
      <c r="E167" s="180" t="s">
        <v>210</v>
      </c>
      <c r="F167" s="180">
        <f t="shared" si="7"/>
        <v>0</v>
      </c>
      <c r="H167" s="180"/>
      <c r="I167" s="180"/>
      <c r="J167" s="180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</row>
    <row r="168">
      <c r="A168" s="179">
        <f>IF(and(D168&gt;='TTP Tracker 26'!$C$3,D168&lt;'TTP Tracker 26'!$C$4),1,0)</f>
        <v>0</v>
      </c>
      <c r="B168" s="180">
        <f>if(and(D168&gt;TODAY(),D168&lt;'TTP Tracker 26'!$C$4),1,0)</f>
        <v>0</v>
      </c>
      <c r="C168" s="180">
        <f>if('TTP Tracker 26'!$B$2="MONTHLY TOTAL",$A168,$B168)</f>
        <v>0</v>
      </c>
      <c r="D168" s="181">
        <v>46041.0</v>
      </c>
      <c r="E168" s="180" t="s">
        <v>211</v>
      </c>
      <c r="F168" s="180">
        <f t="shared" si="7"/>
        <v>0</v>
      </c>
      <c r="G168" s="177"/>
      <c r="H168" s="177"/>
      <c r="I168" s="177"/>
      <c r="J168" s="177"/>
      <c r="K168" s="177"/>
      <c r="L168" s="177"/>
      <c r="M168" s="180">
        <f>if('TTP Tracker 26'!$B$2="MONTHLY TOTAL",$A168,$B168)</f>
        <v>0</v>
      </c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77"/>
      <c r="AD168" s="177"/>
      <c r="AE168" s="177"/>
      <c r="AF168" s="177"/>
      <c r="AG168" s="177"/>
      <c r="AH168" s="177"/>
      <c r="AI168" s="177"/>
    </row>
    <row r="169">
      <c r="A169" s="179">
        <f>IF(and(D169&gt;='TTP Tracker 26'!$C$3,D169&lt;'TTP Tracker 26'!$C$4),1,0)</f>
        <v>0</v>
      </c>
      <c r="B169" s="180">
        <f>if(and(D169&gt;TODAY(),D169&lt;'TTP Tracker 26'!$C$4),1,0)</f>
        <v>0</v>
      </c>
      <c r="C169" s="180">
        <f>if('TTP Tracker 26'!$B$2="MONTHLY TOTAL",$A169,$B169)</f>
        <v>0</v>
      </c>
      <c r="D169" s="181">
        <v>46042.0</v>
      </c>
      <c r="E169" s="180" t="s">
        <v>212</v>
      </c>
      <c r="F169" s="180">
        <f t="shared" si="7"/>
        <v>0</v>
      </c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</row>
    <row r="170">
      <c r="A170" s="179">
        <f>IF(and(D170&gt;='TTP Tracker 26'!$C$3,D170&lt;'TTP Tracker 26'!$C$4),1,0)</f>
        <v>0</v>
      </c>
      <c r="B170" s="180">
        <f>if(and(D170&gt;TODAY(),D170&lt;'TTP Tracker 26'!$C$4),1,0)</f>
        <v>0</v>
      </c>
      <c r="C170" s="180">
        <f>if('TTP Tracker 26'!$B$2="MONTHLY TOTAL",$A170,$B170)</f>
        <v>0</v>
      </c>
      <c r="D170" s="181">
        <v>46043.0</v>
      </c>
      <c r="E170" s="180" t="s">
        <v>213</v>
      </c>
      <c r="F170" s="180">
        <f t="shared" si="7"/>
        <v>0</v>
      </c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</row>
    <row r="171">
      <c r="A171" s="179">
        <f>IF(and(D171&gt;='TTP Tracker 26'!$C$3,D171&lt;'TTP Tracker 26'!$C$4),1,0)</f>
        <v>0</v>
      </c>
      <c r="B171" s="180">
        <f>if(and(D171&gt;TODAY(),D171&lt;'TTP Tracker 26'!$C$4),1,0)</f>
        <v>0</v>
      </c>
      <c r="C171" s="180">
        <f>if('TTP Tracker 26'!$B$2="MONTHLY TOTAL",$A171,$B171)</f>
        <v>0</v>
      </c>
      <c r="D171" s="181">
        <v>46044.0</v>
      </c>
      <c r="E171" s="180" t="s">
        <v>207</v>
      </c>
      <c r="F171" s="180">
        <f t="shared" si="7"/>
        <v>0</v>
      </c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</row>
    <row r="172">
      <c r="A172" s="179">
        <f>IF(and(D172&gt;='TTP Tracker 26'!$C$3,D172&lt;'TTP Tracker 26'!$C$4),1,0)</f>
        <v>0</v>
      </c>
      <c r="B172" s="180">
        <f>if(and(D172&gt;TODAY(),D172&lt;'TTP Tracker 26'!$C$4),1,0)</f>
        <v>0</v>
      </c>
      <c r="C172" s="180">
        <f>if('TTP Tracker 26'!$B$2="MONTHLY TOTAL",$A172,$B172)</f>
        <v>0</v>
      </c>
      <c r="D172" s="181">
        <v>46045.0</v>
      </c>
      <c r="E172" s="180" t="s">
        <v>208</v>
      </c>
      <c r="F172" s="180">
        <f t="shared" si="7"/>
        <v>0</v>
      </c>
      <c r="G172" s="180">
        <f>if('TTP Tracker 26'!$B$2="MONTHLY TOTAL",$A172,$B172)</f>
        <v>0</v>
      </c>
      <c r="H172" s="180"/>
      <c r="I172" s="180"/>
      <c r="J172" s="180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77"/>
      <c r="AD172" s="177"/>
      <c r="AE172" s="177"/>
      <c r="AF172" s="177"/>
      <c r="AG172" s="177"/>
      <c r="AH172" s="177"/>
      <c r="AI172" s="177"/>
    </row>
    <row r="173">
      <c r="A173" s="179">
        <f>IF(and(D173&gt;='TTP Tracker 26'!$C$3,D173&lt;'TTP Tracker 26'!$C$4),1,0)</f>
        <v>0</v>
      </c>
      <c r="B173" s="180">
        <f>if(and(D173&gt;TODAY(),D173&lt;'TTP Tracker 26'!$C$4),1,0)</f>
        <v>0</v>
      </c>
      <c r="C173" s="180">
        <f>if('TTP Tracker 26'!$B$2="MONTHLY TOTAL",$A173,$B173)</f>
        <v>0</v>
      </c>
      <c r="D173" s="181">
        <v>46046.0</v>
      </c>
      <c r="E173" s="180" t="s">
        <v>209</v>
      </c>
      <c r="F173" s="180">
        <f t="shared" si="7"/>
        <v>0</v>
      </c>
      <c r="G173" s="177"/>
      <c r="H173" s="177"/>
      <c r="I173" s="177"/>
      <c r="J173" s="177"/>
      <c r="K173" s="180">
        <f>if('TTP Tracker 26'!$B$2="MONTHLY TOTAL",$A173,$B173)</f>
        <v>0</v>
      </c>
      <c r="L173" s="180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77"/>
      <c r="AD173" s="177"/>
      <c r="AE173" s="177"/>
      <c r="AF173" s="177"/>
      <c r="AG173" s="177"/>
      <c r="AH173" s="177"/>
      <c r="AI173" s="177"/>
    </row>
    <row r="174">
      <c r="A174" s="179">
        <f>IF(and(D174&gt;='TTP Tracker 26'!$C$3,D174&lt;'TTP Tracker 26'!$C$4),1,0)</f>
        <v>0</v>
      </c>
      <c r="B174" s="180">
        <f>if(and(D174&gt;TODAY(),D174&lt;'TTP Tracker 26'!$C$4),1,0)</f>
        <v>0</v>
      </c>
      <c r="C174" s="180">
        <f>if('TTP Tracker 26'!$B$2="MONTHLY TOTAL",$A174,$B174)</f>
        <v>0</v>
      </c>
      <c r="D174" s="181">
        <v>46047.0</v>
      </c>
      <c r="E174" s="180" t="s">
        <v>210</v>
      </c>
      <c r="F174" s="180">
        <f t="shared" si="7"/>
        <v>0</v>
      </c>
      <c r="G174" s="180"/>
      <c r="H174" s="180"/>
      <c r="I174" s="180"/>
      <c r="J174" s="180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77"/>
      <c r="AD174" s="177"/>
      <c r="AE174" s="177"/>
      <c r="AF174" s="177"/>
      <c r="AG174" s="177"/>
      <c r="AH174" s="177"/>
      <c r="AI174" s="177"/>
    </row>
    <row r="175">
      <c r="A175" s="179">
        <f>IF(and(D175&gt;='TTP Tracker 26'!$C$3,D175&lt;'TTP Tracker 26'!$C$4),1,0)</f>
        <v>0</v>
      </c>
      <c r="B175" s="180">
        <f>if(and(D175&gt;TODAY(),D175&lt;'TTP Tracker 26'!$C$4),1,0)</f>
        <v>0</v>
      </c>
      <c r="C175" s="180">
        <f>if('TTP Tracker 26'!$B$2="MONTHLY TOTAL",$A175,$B175)</f>
        <v>0</v>
      </c>
      <c r="D175" s="181">
        <v>46048.0</v>
      </c>
      <c r="E175" s="180" t="s">
        <v>211</v>
      </c>
      <c r="F175" s="180">
        <f t="shared" si="7"/>
        <v>0</v>
      </c>
      <c r="G175" s="177"/>
      <c r="H175" s="177"/>
      <c r="I175" s="177"/>
      <c r="J175" s="177"/>
      <c r="L175" s="180">
        <f>if('TTP Tracker 26'!$B$2="MONTHLY TOTAL",$A175,$B175)</f>
        <v>0</v>
      </c>
      <c r="M175" s="180">
        <f>if('TTP Tracker 26'!$B$2="MONTHLY TOTAL",$A175,$B175)</f>
        <v>0</v>
      </c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  <c r="AE175" s="177"/>
      <c r="AF175" s="177"/>
      <c r="AG175" s="177"/>
      <c r="AH175" s="177"/>
      <c r="AI175" s="177"/>
    </row>
    <row r="176">
      <c r="A176" s="179">
        <f>IF(and(D176&gt;='TTP Tracker 26'!$C$3,D176&lt;'TTP Tracker 26'!$C$4),1,0)</f>
        <v>0</v>
      </c>
      <c r="B176" s="180">
        <f>if(and(D176&gt;TODAY(),D176&lt;'TTP Tracker 26'!$C$4),1,0)</f>
        <v>0</v>
      </c>
      <c r="C176" s="180">
        <f>if('TTP Tracker 26'!$B$2="MONTHLY TOTAL",$A176,$B176)</f>
        <v>0</v>
      </c>
      <c r="D176" s="181">
        <v>46049.0</v>
      </c>
      <c r="E176" s="180" t="s">
        <v>212</v>
      </c>
      <c r="F176" s="180">
        <f t="shared" si="7"/>
        <v>0</v>
      </c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  <c r="AE176" s="177"/>
      <c r="AF176" s="177"/>
      <c r="AG176" s="177"/>
      <c r="AH176" s="177"/>
      <c r="AI176" s="177"/>
    </row>
    <row r="177">
      <c r="A177" s="179">
        <f>IF(and(D177&gt;='TTP Tracker 26'!$C$3,D177&lt;'TTP Tracker 26'!$C$4),1,0)</f>
        <v>0</v>
      </c>
      <c r="B177" s="180">
        <f>if(and(D177&gt;TODAY(),D177&lt;'TTP Tracker 26'!$C$4),1,0)</f>
        <v>0</v>
      </c>
      <c r="C177" s="180">
        <f>if('TTP Tracker 26'!$B$2="MONTHLY TOTAL",$A177,$B177)</f>
        <v>0</v>
      </c>
      <c r="D177" s="181">
        <v>46050.0</v>
      </c>
      <c r="E177" s="180" t="s">
        <v>213</v>
      </c>
      <c r="F177" s="180">
        <f t="shared" si="7"/>
        <v>0</v>
      </c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  <c r="AE177" s="177"/>
      <c r="AF177" s="177"/>
      <c r="AG177" s="177"/>
      <c r="AH177" s="177"/>
      <c r="AI177" s="177"/>
    </row>
    <row r="178">
      <c r="A178" s="179">
        <f>IF(and(D178&gt;='TTP Tracker 26'!$C$3,D178&lt;'TTP Tracker 26'!$C$4),1,0)</f>
        <v>0</v>
      </c>
      <c r="B178" s="180">
        <f>if(and(D178&gt;TODAY(),D178&lt;'TTP Tracker 26'!$C$4),1,0)</f>
        <v>0</v>
      </c>
      <c r="C178" s="180">
        <f>if('TTP Tracker 26'!$B$2="MONTHLY TOTAL",$A178,$B178)</f>
        <v>0</v>
      </c>
      <c r="D178" s="181">
        <v>46051.0</v>
      </c>
      <c r="E178" s="180" t="s">
        <v>207</v>
      </c>
      <c r="F178" s="180">
        <f t="shared" si="7"/>
        <v>0</v>
      </c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  <c r="AE178" s="177"/>
      <c r="AF178" s="177"/>
      <c r="AG178" s="177"/>
      <c r="AH178" s="177"/>
      <c r="AI178" s="177"/>
    </row>
    <row r="179">
      <c r="A179" s="179">
        <f>IF(and(D179&gt;='TTP Tracker 26'!$C$3,D179&lt;'TTP Tracker 26'!$C$4),1,0)</f>
        <v>0</v>
      </c>
      <c r="B179" s="180">
        <f>if(and(D179&gt;TODAY(),D179&lt;'TTP Tracker 26'!$C$4),1,0)</f>
        <v>0</v>
      </c>
      <c r="C179" s="180">
        <f>if('TTP Tracker 26'!$B$2="MONTHLY TOTAL",$A179,$B179)</f>
        <v>0</v>
      </c>
      <c r="D179" s="181">
        <v>46052.0</v>
      </c>
      <c r="E179" s="180" t="s">
        <v>208</v>
      </c>
      <c r="F179" s="180">
        <f t="shared" si="7"/>
        <v>0</v>
      </c>
      <c r="G179" s="180"/>
      <c r="H179" s="180"/>
      <c r="I179" s="180">
        <f>if('TTP Tracker 26'!$B$2="MONTHLY TOTAL",$A179,$B179)</f>
        <v>0</v>
      </c>
      <c r="J179" s="180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7"/>
      <c r="AG179" s="177"/>
      <c r="AH179" s="177"/>
      <c r="AI179" s="177"/>
    </row>
    <row r="180">
      <c r="A180" s="179">
        <f>IF(and(D180&gt;='TTP Tracker 26'!$C$3,D180&lt;'TTP Tracker 26'!$C$4),1,0)</f>
        <v>0</v>
      </c>
      <c r="B180" s="180">
        <f>if(and(D180&gt;TODAY(),D180&lt;'TTP Tracker 26'!$C$4),1,0)</f>
        <v>0</v>
      </c>
      <c r="C180" s="180">
        <f>if('TTP Tracker 26'!$B$2="MONTHLY TOTAL",$A180,$B180)</f>
        <v>0</v>
      </c>
      <c r="D180" s="181">
        <v>46053.0</v>
      </c>
      <c r="E180" s="180" t="s">
        <v>209</v>
      </c>
      <c r="F180" s="180">
        <f t="shared" si="7"/>
        <v>0</v>
      </c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  <c r="AE180" s="177"/>
      <c r="AF180" s="177"/>
      <c r="AG180" s="177"/>
      <c r="AH180" s="177"/>
      <c r="AI180" s="177"/>
    </row>
    <row r="181">
      <c r="A181" s="179">
        <f>IF(and(D181&gt;='TTP Tracker 26'!$C$3,D181&lt;'TTP Tracker 26'!$C$4),1,0)</f>
        <v>0</v>
      </c>
      <c r="B181" s="180">
        <f>if(and(D181&gt;TODAY(),D181&lt;'TTP Tracker 26'!$C$4),1,0)</f>
        <v>0</v>
      </c>
      <c r="C181" s="180">
        <f>if('TTP Tracker 26'!$B$2="MONTHLY TOTAL",$A181,$B181)</f>
        <v>0</v>
      </c>
      <c r="D181" s="181">
        <v>46054.0</v>
      </c>
      <c r="E181" s="180" t="s">
        <v>210</v>
      </c>
      <c r="F181" s="180">
        <f t="shared" si="7"/>
        <v>0</v>
      </c>
      <c r="H181" s="180"/>
      <c r="I181" s="180"/>
      <c r="J181" s="180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  <c r="AE181" s="177"/>
      <c r="AF181" s="177"/>
      <c r="AG181" s="177"/>
      <c r="AH181" s="177"/>
      <c r="AI181" s="177"/>
    </row>
    <row r="182">
      <c r="A182" s="179">
        <f>IF(and(D182&gt;='TTP Tracker 26'!$C$3,D182&lt;'TTP Tracker 26'!$C$4),1,0)</f>
        <v>0</v>
      </c>
      <c r="B182" s="180">
        <f>if(and(D182&gt;TODAY(),D182&lt;'TTP Tracker 26'!$C$4),1,0)</f>
        <v>0</v>
      </c>
      <c r="C182" s="180">
        <f>if('TTP Tracker 26'!$B$2="MONTHLY TOTAL",$A182,$B182)</f>
        <v>0</v>
      </c>
      <c r="D182" s="181">
        <v>46055.0</v>
      </c>
      <c r="E182" s="180" t="s">
        <v>211</v>
      </c>
      <c r="F182" s="180">
        <f t="shared" si="7"/>
        <v>0</v>
      </c>
      <c r="G182" s="177"/>
      <c r="H182" s="177"/>
      <c r="I182" s="177"/>
      <c r="J182" s="177"/>
      <c r="K182" s="177"/>
      <c r="L182" s="177"/>
      <c r="M182" s="180">
        <f>if('TTP Tracker 26'!$B$2="MONTHLY TOTAL",$A182,$B182)</f>
        <v>0</v>
      </c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  <c r="AE182" s="177"/>
      <c r="AF182" s="177"/>
      <c r="AG182" s="177"/>
      <c r="AH182" s="177"/>
      <c r="AI182" s="177"/>
    </row>
    <row r="183">
      <c r="A183" s="179">
        <f>IF(and(D183&gt;='TTP Tracker 26'!$C$3,D183&lt;'TTP Tracker 26'!$C$4),1,0)</f>
        <v>0</v>
      </c>
      <c r="B183" s="180">
        <f>if(and(D183&gt;TODAY(),D183&lt;'TTP Tracker 26'!$C$4),1,0)</f>
        <v>0</v>
      </c>
      <c r="C183" s="180">
        <f>if('TTP Tracker 26'!$B$2="MONTHLY TOTAL",$A183,$B183)</f>
        <v>0</v>
      </c>
      <c r="D183" s="181">
        <v>46056.0</v>
      </c>
      <c r="E183" s="180" t="s">
        <v>212</v>
      </c>
      <c r="F183" s="180">
        <f t="shared" si="7"/>
        <v>0</v>
      </c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  <c r="AE183" s="177"/>
      <c r="AF183" s="177"/>
      <c r="AG183" s="177"/>
      <c r="AH183" s="177"/>
      <c r="AI183" s="177"/>
    </row>
    <row r="184">
      <c r="A184" s="179">
        <f>IF(and(D184&gt;='TTP Tracker 26'!$C$3,D184&lt;'TTP Tracker 26'!$C$4),1,0)</f>
        <v>0</v>
      </c>
      <c r="B184" s="180">
        <f>if(and(D184&gt;TODAY(),D184&lt;'TTP Tracker 26'!$C$4),1,0)</f>
        <v>0</v>
      </c>
      <c r="C184" s="180">
        <f>if('TTP Tracker 26'!$B$2="MONTHLY TOTAL",$A184,$B184)</f>
        <v>0</v>
      </c>
      <c r="D184" s="181">
        <v>46057.0</v>
      </c>
      <c r="E184" s="180" t="s">
        <v>213</v>
      </c>
      <c r="F184" s="180">
        <f t="shared" si="7"/>
        <v>0</v>
      </c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  <c r="AE184" s="177"/>
      <c r="AF184" s="177"/>
      <c r="AG184" s="177"/>
      <c r="AH184" s="177"/>
      <c r="AI184" s="177"/>
    </row>
    <row r="185">
      <c r="A185" s="179">
        <f>IF(and(D185&gt;='TTP Tracker 26'!$C$3,D185&lt;'TTP Tracker 26'!$C$4),1,0)</f>
        <v>0</v>
      </c>
      <c r="B185" s="180">
        <f>if(and(D185&gt;TODAY(),D185&lt;'TTP Tracker 26'!$C$4),1,0)</f>
        <v>0</v>
      </c>
      <c r="C185" s="180">
        <f>if('TTP Tracker 26'!$B$2="MONTHLY TOTAL",$A185,$B185)</f>
        <v>0</v>
      </c>
      <c r="D185" s="181">
        <v>46058.0</v>
      </c>
      <c r="E185" s="180" t="s">
        <v>207</v>
      </c>
      <c r="F185" s="180">
        <f t="shared" si="7"/>
        <v>0</v>
      </c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7"/>
      <c r="AG185" s="177"/>
      <c r="AH185" s="177"/>
      <c r="AI185" s="177"/>
    </row>
    <row r="186">
      <c r="A186" s="179">
        <f>IF(and(D186&gt;='TTP Tracker 26'!$C$3,D186&lt;'TTP Tracker 26'!$C$4),1,0)</f>
        <v>0</v>
      </c>
      <c r="B186" s="180">
        <f>if(and(D186&gt;TODAY(),D186&lt;'TTP Tracker 26'!$C$4),1,0)</f>
        <v>0</v>
      </c>
      <c r="C186" s="180">
        <f>if('TTP Tracker 26'!$B$2="MONTHLY TOTAL",$A186,$B186)</f>
        <v>0</v>
      </c>
      <c r="D186" s="181">
        <v>46059.0</v>
      </c>
      <c r="E186" s="180" t="s">
        <v>208</v>
      </c>
      <c r="F186" s="180">
        <f t="shared" si="7"/>
        <v>0</v>
      </c>
      <c r="G186" s="180">
        <f>if('TTP Tracker 26'!$B$2="MONTHLY TOTAL",$A186,$B186)</f>
        <v>0</v>
      </c>
      <c r="H186" s="180"/>
      <c r="I186" s="180"/>
      <c r="J186" s="180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</row>
    <row r="187">
      <c r="A187" s="179">
        <f>IF(and(D187&gt;='TTP Tracker 26'!$C$3,D187&lt;'TTP Tracker 26'!$C$4),1,0)</f>
        <v>0</v>
      </c>
      <c r="B187" s="180">
        <f>if(and(D187&gt;TODAY(),D187&lt;'TTP Tracker 26'!$C$4),1,0)</f>
        <v>0</v>
      </c>
      <c r="C187" s="180">
        <f>if('TTP Tracker 26'!$B$2="MONTHLY TOTAL",$A187,$B187)</f>
        <v>0</v>
      </c>
      <c r="D187" s="181">
        <v>46060.0</v>
      </c>
      <c r="E187" s="180" t="s">
        <v>209</v>
      </c>
      <c r="F187" s="180">
        <f t="shared" si="7"/>
        <v>0</v>
      </c>
      <c r="G187" s="177"/>
      <c r="H187" s="177"/>
      <c r="I187" s="177"/>
      <c r="J187" s="177"/>
      <c r="K187" s="180">
        <f>if('TTP Tracker 26'!$B$2="MONTHLY TOTAL",$A187,$B187)</f>
        <v>0</v>
      </c>
      <c r="L187" s="180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  <c r="AE187" s="177"/>
      <c r="AF187" s="177"/>
      <c r="AG187" s="177"/>
      <c r="AH187" s="177"/>
      <c r="AI187" s="177"/>
    </row>
    <row r="188">
      <c r="A188" s="179">
        <f>IF(and(D188&gt;='TTP Tracker 26'!$C$3,D188&lt;'TTP Tracker 26'!$C$4),1,0)</f>
        <v>0</v>
      </c>
      <c r="B188" s="180">
        <f>if(and(D188&gt;TODAY(),D188&lt;'TTP Tracker 26'!$C$4),1,0)</f>
        <v>0</v>
      </c>
      <c r="C188" s="180">
        <f>if('TTP Tracker 26'!$B$2="MONTHLY TOTAL",$A188,$B188)</f>
        <v>0</v>
      </c>
      <c r="D188" s="181">
        <v>46061.0</v>
      </c>
      <c r="E188" s="180" t="s">
        <v>210</v>
      </c>
      <c r="F188" s="180">
        <f t="shared" si="7"/>
        <v>0</v>
      </c>
      <c r="G188" s="180"/>
      <c r="H188" s="180"/>
      <c r="I188" s="180"/>
      <c r="J188" s="180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  <c r="AE188" s="177"/>
      <c r="AF188" s="177"/>
      <c r="AG188" s="177"/>
      <c r="AH188" s="177"/>
      <c r="AI188" s="177"/>
    </row>
    <row r="189">
      <c r="A189" s="179">
        <f>IF(and(D189&gt;='TTP Tracker 26'!$C$3,D189&lt;'TTP Tracker 26'!$C$4),1,0)</f>
        <v>0</v>
      </c>
      <c r="B189" s="180">
        <f>if(and(D189&gt;TODAY(),D189&lt;'TTP Tracker 26'!$C$4),1,0)</f>
        <v>0</v>
      </c>
      <c r="C189" s="180">
        <f>if('TTP Tracker 26'!$B$2="MONTHLY TOTAL",$A189,$B189)</f>
        <v>0</v>
      </c>
      <c r="D189" s="181">
        <v>46062.0</v>
      </c>
      <c r="E189" s="180" t="s">
        <v>211</v>
      </c>
      <c r="F189" s="180">
        <f t="shared" si="7"/>
        <v>0</v>
      </c>
      <c r="G189" s="177"/>
      <c r="H189" s="177"/>
      <c r="I189" s="177"/>
      <c r="J189" s="177"/>
      <c r="L189" s="180">
        <f>if('TTP Tracker 26'!$B$2="MONTHLY TOTAL",$A189,$B189)</f>
        <v>0</v>
      </c>
      <c r="M189" s="180">
        <f>if('TTP Tracker 26'!$B$2="MONTHLY TOTAL",$A189,$B189)</f>
        <v>0</v>
      </c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  <c r="AE189" s="177"/>
      <c r="AF189" s="177"/>
      <c r="AG189" s="177"/>
      <c r="AH189" s="177"/>
      <c r="AI189" s="177"/>
    </row>
    <row r="190">
      <c r="A190" s="179">
        <f>IF(and(D190&gt;='TTP Tracker 26'!$C$3,D190&lt;'TTP Tracker 26'!$C$4),1,0)</f>
        <v>0</v>
      </c>
      <c r="B190" s="180">
        <f>if(and(D190&gt;TODAY(),D190&lt;'TTP Tracker 26'!$C$4),1,0)</f>
        <v>0</v>
      </c>
      <c r="C190" s="180">
        <f>if('TTP Tracker 26'!$B$2="MONTHLY TOTAL",$A190,$B190)</f>
        <v>0</v>
      </c>
      <c r="D190" s="181">
        <v>46063.0</v>
      </c>
      <c r="E190" s="180" t="s">
        <v>212</v>
      </c>
      <c r="F190" s="180">
        <f t="shared" si="7"/>
        <v>0</v>
      </c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  <c r="AE190" s="177"/>
      <c r="AF190" s="177"/>
      <c r="AG190" s="177"/>
      <c r="AH190" s="177"/>
      <c r="AI190" s="177"/>
    </row>
    <row r="191">
      <c r="A191" s="179">
        <f>IF(and(D191&gt;='TTP Tracker 26'!$C$3,D191&lt;'TTP Tracker 26'!$C$4),1,0)</f>
        <v>0</v>
      </c>
      <c r="B191" s="180">
        <f>if(and(D191&gt;TODAY(),D191&lt;'TTP Tracker 26'!$C$4),1,0)</f>
        <v>0</v>
      </c>
      <c r="C191" s="180">
        <f>if('TTP Tracker 26'!$B$2="MONTHLY TOTAL",$A191,$B191)</f>
        <v>0</v>
      </c>
      <c r="D191" s="181">
        <v>46064.0</v>
      </c>
      <c r="E191" s="180" t="s">
        <v>213</v>
      </c>
      <c r="F191" s="180">
        <f t="shared" si="7"/>
        <v>0</v>
      </c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  <c r="AE191" s="177"/>
      <c r="AF191" s="177"/>
      <c r="AG191" s="177"/>
      <c r="AH191" s="177"/>
      <c r="AI191" s="177"/>
    </row>
    <row r="192">
      <c r="A192" s="179">
        <f>IF(and(D192&gt;='TTP Tracker 26'!$C$3,D192&lt;'TTP Tracker 26'!$C$4),1,0)</f>
        <v>0</v>
      </c>
      <c r="B192" s="180">
        <f>if(and(D192&gt;TODAY(),D192&lt;'TTP Tracker 26'!$C$4),1,0)</f>
        <v>0</v>
      </c>
      <c r="C192" s="180">
        <f>if('TTP Tracker 26'!$B$2="MONTHLY TOTAL",$A192,$B192)</f>
        <v>0</v>
      </c>
      <c r="D192" s="181">
        <v>46065.0</v>
      </c>
      <c r="E192" s="180" t="s">
        <v>207</v>
      </c>
      <c r="F192" s="180">
        <f t="shared" si="7"/>
        <v>0</v>
      </c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  <c r="AE192" s="177"/>
      <c r="AF192" s="177"/>
      <c r="AG192" s="177"/>
      <c r="AH192" s="177"/>
      <c r="AI192" s="177"/>
    </row>
    <row r="193">
      <c r="A193" s="179">
        <f>IF(and(D193&gt;='TTP Tracker 26'!$C$3,D193&lt;'TTP Tracker 26'!$C$4),1,0)</f>
        <v>0</v>
      </c>
      <c r="B193" s="180">
        <f>if(and(D193&gt;TODAY(),D193&lt;'TTP Tracker 26'!$C$4),1,0)</f>
        <v>0</v>
      </c>
      <c r="C193" s="180">
        <f>if('TTP Tracker 26'!$B$2="MONTHLY TOTAL",$A193,$B193)</f>
        <v>0</v>
      </c>
      <c r="D193" s="181">
        <v>46066.0</v>
      </c>
      <c r="E193" s="180" t="s">
        <v>208</v>
      </c>
      <c r="F193" s="180">
        <f t="shared" si="7"/>
        <v>0</v>
      </c>
      <c r="G193" s="180"/>
      <c r="H193" s="180"/>
      <c r="I193" s="180">
        <f>if('TTP Tracker 26'!$B$2="MONTHLY TOTAL",$A193,$B193)</f>
        <v>0</v>
      </c>
      <c r="J193" s="180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  <c r="AE193" s="177"/>
      <c r="AF193" s="177"/>
      <c r="AG193" s="177"/>
      <c r="AH193" s="177"/>
      <c r="AI193" s="177"/>
    </row>
    <row r="194">
      <c r="A194" s="179">
        <f>IF(and(D194&gt;='TTP Tracker 26'!$C$3,D194&lt;'TTP Tracker 26'!$C$4),1,0)</f>
        <v>0</v>
      </c>
      <c r="B194" s="180">
        <f>if(and(D194&gt;TODAY(),D194&lt;'TTP Tracker 26'!$C$4),1,0)</f>
        <v>0</v>
      </c>
      <c r="C194" s="180">
        <f>if('TTP Tracker 26'!$B$2="MONTHLY TOTAL",$A194,$B194)</f>
        <v>0</v>
      </c>
      <c r="D194" s="181">
        <v>46067.0</v>
      </c>
      <c r="E194" s="180" t="s">
        <v>209</v>
      </c>
      <c r="F194" s="180">
        <f t="shared" si="7"/>
        <v>0</v>
      </c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  <c r="AE194" s="177"/>
      <c r="AF194" s="177"/>
      <c r="AG194" s="177"/>
      <c r="AH194" s="177"/>
      <c r="AI194" s="177"/>
    </row>
    <row r="195">
      <c r="A195" s="179">
        <f>IF(and(D195&gt;='TTP Tracker 26'!$C$3,D195&lt;'TTP Tracker 26'!$C$4),1,0)</f>
        <v>0</v>
      </c>
      <c r="B195" s="180">
        <f>if(and(D195&gt;TODAY(),D195&lt;'TTP Tracker 26'!$C$4),1,0)</f>
        <v>0</v>
      </c>
      <c r="C195" s="180">
        <f>if('TTP Tracker 26'!$B$2="MONTHLY TOTAL",$A195,$B195)</f>
        <v>0</v>
      </c>
      <c r="D195" s="181">
        <v>46068.0</v>
      </c>
      <c r="E195" s="180" t="s">
        <v>210</v>
      </c>
      <c r="F195" s="180">
        <f t="shared" si="7"/>
        <v>0</v>
      </c>
      <c r="H195" s="180"/>
      <c r="I195" s="180"/>
      <c r="J195" s="180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</row>
    <row r="196">
      <c r="A196" s="179">
        <f>IF(and(D196&gt;='TTP Tracker 26'!$C$3,D196&lt;'TTP Tracker 26'!$C$4),1,0)</f>
        <v>0</v>
      </c>
      <c r="B196" s="180">
        <f>if(and(D196&gt;TODAY(),D196&lt;'TTP Tracker 26'!$C$4),1,0)</f>
        <v>0</v>
      </c>
      <c r="C196" s="180">
        <f>if('TTP Tracker 26'!$B$2="MONTHLY TOTAL",$A196,$B196)</f>
        <v>0</v>
      </c>
      <c r="D196" s="181">
        <v>46069.0</v>
      </c>
      <c r="E196" s="180" t="s">
        <v>211</v>
      </c>
      <c r="F196" s="180">
        <f t="shared" si="7"/>
        <v>0</v>
      </c>
      <c r="G196" s="177"/>
      <c r="H196" s="177"/>
      <c r="I196" s="177"/>
      <c r="J196" s="177"/>
      <c r="K196" s="177"/>
      <c r="L196" s="177"/>
      <c r="M196" s="180">
        <f>if('TTP Tracker 26'!$B$2="MONTHLY TOTAL",$A196,$B196)</f>
        <v>0</v>
      </c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  <c r="AE196" s="177"/>
      <c r="AF196" s="177"/>
      <c r="AG196" s="177"/>
      <c r="AH196" s="177"/>
      <c r="AI196" s="177"/>
    </row>
    <row r="197">
      <c r="A197" s="179">
        <f>IF(and(D197&gt;='TTP Tracker 26'!$C$3,D197&lt;'TTP Tracker 26'!$C$4),1,0)</f>
        <v>0</v>
      </c>
      <c r="B197" s="180">
        <f>if(and(D197&gt;TODAY(),D197&lt;'TTP Tracker 26'!$C$4),1,0)</f>
        <v>0</v>
      </c>
      <c r="C197" s="180">
        <f>if('TTP Tracker 26'!$B$2="MONTHLY TOTAL",$A197,$B197)</f>
        <v>0</v>
      </c>
      <c r="D197" s="181">
        <v>46070.0</v>
      </c>
      <c r="E197" s="180" t="s">
        <v>212</v>
      </c>
      <c r="F197" s="180">
        <f t="shared" si="7"/>
        <v>0</v>
      </c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  <c r="AE197" s="177"/>
      <c r="AF197" s="177"/>
      <c r="AG197" s="177"/>
      <c r="AH197" s="177"/>
      <c r="AI197" s="177"/>
    </row>
    <row r="198">
      <c r="A198" s="179">
        <f>IF(and(D198&gt;='TTP Tracker 26'!$C$3,D198&lt;'TTP Tracker 26'!$C$4),1,0)</f>
        <v>0</v>
      </c>
      <c r="B198" s="180">
        <f>if(and(D198&gt;TODAY(),D198&lt;'TTP Tracker 26'!$C$4),1,0)</f>
        <v>0</v>
      </c>
      <c r="C198" s="180">
        <f>if('TTP Tracker 26'!$B$2="MONTHLY TOTAL",$A198,$B198)</f>
        <v>0</v>
      </c>
      <c r="D198" s="181">
        <v>46071.0</v>
      </c>
      <c r="E198" s="180" t="s">
        <v>213</v>
      </c>
      <c r="F198" s="180">
        <f t="shared" si="7"/>
        <v>0</v>
      </c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  <c r="AE198" s="177"/>
      <c r="AF198" s="177"/>
      <c r="AG198" s="177"/>
      <c r="AH198" s="177"/>
      <c r="AI198" s="177"/>
    </row>
    <row r="199">
      <c r="A199" s="179">
        <f>IF(and(D199&gt;='TTP Tracker 26'!$C$3,D199&lt;'TTP Tracker 26'!$C$4),1,0)</f>
        <v>0</v>
      </c>
      <c r="B199" s="180">
        <f>if(and(D199&gt;TODAY(),D199&lt;'TTP Tracker 26'!$C$4),1,0)</f>
        <v>0</v>
      </c>
      <c r="C199" s="180">
        <f>if('TTP Tracker 26'!$B$2="MONTHLY TOTAL",$A199,$B199)</f>
        <v>0</v>
      </c>
      <c r="D199" s="181">
        <v>46072.0</v>
      </c>
      <c r="E199" s="180" t="s">
        <v>207</v>
      </c>
      <c r="F199" s="180">
        <f t="shared" si="7"/>
        <v>0</v>
      </c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</row>
    <row r="200">
      <c r="A200" s="179">
        <f>IF(and(D200&gt;='TTP Tracker 26'!$C$3,D200&lt;'TTP Tracker 26'!$C$4),1,0)</f>
        <v>0</v>
      </c>
      <c r="B200" s="180">
        <f>if(and(D200&gt;TODAY(),D200&lt;'TTP Tracker 26'!$C$4),1,0)</f>
        <v>0</v>
      </c>
      <c r="C200" s="180">
        <f>if('TTP Tracker 26'!$B$2="MONTHLY TOTAL",$A200,$B200)</f>
        <v>0</v>
      </c>
      <c r="D200" s="181">
        <v>46073.0</v>
      </c>
      <c r="E200" s="180" t="s">
        <v>208</v>
      </c>
      <c r="F200" s="180">
        <f t="shared" si="7"/>
        <v>0</v>
      </c>
      <c r="G200" s="180">
        <f>if('TTP Tracker 26'!$B$2="MONTHLY TOTAL",$A200,$B200)</f>
        <v>0</v>
      </c>
      <c r="H200" s="180"/>
      <c r="I200" s="180"/>
      <c r="J200" s="180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  <c r="AE200" s="177"/>
      <c r="AF200" s="177"/>
      <c r="AG200" s="177"/>
      <c r="AH200" s="177"/>
      <c r="AI200" s="177"/>
    </row>
    <row r="201">
      <c r="A201" s="179">
        <f>IF(and(D201&gt;='TTP Tracker 26'!$C$3,D201&lt;'TTP Tracker 26'!$C$4),1,0)</f>
        <v>0</v>
      </c>
      <c r="B201" s="180">
        <f>if(and(D201&gt;TODAY(),D201&lt;'TTP Tracker 26'!$C$4),1,0)</f>
        <v>0</v>
      </c>
      <c r="C201" s="180">
        <f>if('TTP Tracker 26'!$B$2="MONTHLY TOTAL",$A201,$B201)</f>
        <v>0</v>
      </c>
      <c r="D201" s="181">
        <v>46074.0</v>
      </c>
      <c r="E201" s="180" t="s">
        <v>209</v>
      </c>
      <c r="F201" s="180">
        <f t="shared" si="7"/>
        <v>0</v>
      </c>
      <c r="G201" s="177"/>
      <c r="H201" s="177"/>
      <c r="I201" s="177"/>
      <c r="J201" s="177"/>
      <c r="K201" s="180">
        <f>if('TTP Tracker 26'!$B$2="MONTHLY TOTAL",$A201,$B201)</f>
        <v>0</v>
      </c>
      <c r="L201" s="180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  <c r="AE201" s="177"/>
      <c r="AF201" s="177"/>
      <c r="AG201" s="177"/>
      <c r="AH201" s="177"/>
      <c r="AI201" s="177"/>
    </row>
    <row r="202">
      <c r="A202" s="179">
        <f>IF(and(D202&gt;='TTP Tracker 26'!$C$3,D202&lt;'TTP Tracker 26'!$C$4),1,0)</f>
        <v>0</v>
      </c>
      <c r="B202" s="180">
        <f>if(and(D202&gt;TODAY(),D202&lt;'TTP Tracker 26'!$C$4),1,0)</f>
        <v>0</v>
      </c>
      <c r="C202" s="180">
        <f>if('TTP Tracker 26'!$B$2="MONTHLY TOTAL",$A202,$B202)</f>
        <v>0</v>
      </c>
      <c r="D202" s="181">
        <v>46075.0</v>
      </c>
      <c r="E202" s="180" t="s">
        <v>210</v>
      </c>
      <c r="F202" s="180">
        <f t="shared" si="7"/>
        <v>0</v>
      </c>
      <c r="G202" s="180"/>
      <c r="H202" s="180"/>
      <c r="I202" s="180"/>
      <c r="J202" s="180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</row>
    <row r="203">
      <c r="A203" s="179">
        <f>IF(and(D203&gt;='TTP Tracker 26'!$C$3,D203&lt;'TTP Tracker 26'!$C$4),1,0)</f>
        <v>0</v>
      </c>
      <c r="B203" s="180">
        <f>if(and(D203&gt;TODAY(),D203&lt;'TTP Tracker 26'!$C$4),1,0)</f>
        <v>0</v>
      </c>
      <c r="C203" s="180">
        <f>if('TTP Tracker 26'!$B$2="MONTHLY TOTAL",$A203,$B203)</f>
        <v>0</v>
      </c>
      <c r="D203" s="181">
        <v>46076.0</v>
      </c>
      <c r="E203" s="180" t="s">
        <v>211</v>
      </c>
      <c r="F203" s="180">
        <f t="shared" si="7"/>
        <v>0</v>
      </c>
      <c r="G203" s="177"/>
      <c r="H203" s="177"/>
      <c r="I203" s="177"/>
      <c r="J203" s="177"/>
      <c r="L203" s="180">
        <f>if('TTP Tracker 26'!$B$2="MONTHLY TOTAL",$A203,$B203)</f>
        <v>0</v>
      </c>
      <c r="M203" s="180">
        <f>if('TTP Tracker 26'!$B$2="MONTHLY TOTAL",$A203,$B203)</f>
        <v>0</v>
      </c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</row>
    <row r="204">
      <c r="A204" s="179">
        <f>IF(and(D204&gt;='TTP Tracker 26'!$C$3,D204&lt;'TTP Tracker 26'!$C$4),1,0)</f>
        <v>0</v>
      </c>
      <c r="B204" s="180">
        <f>if(and(D204&gt;TODAY(),D204&lt;'TTP Tracker 26'!$C$4),1,0)</f>
        <v>0</v>
      </c>
      <c r="C204" s="180">
        <f>if('TTP Tracker 26'!$B$2="MONTHLY TOTAL",$A204,$B204)</f>
        <v>0</v>
      </c>
      <c r="D204" s="181">
        <v>46077.0</v>
      </c>
      <c r="E204" s="180" t="s">
        <v>212</v>
      </c>
      <c r="F204" s="180">
        <f t="shared" si="7"/>
        <v>0</v>
      </c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</row>
    <row r="205">
      <c r="A205" s="179">
        <f>IF(and(D205&gt;='TTP Tracker 26'!$C$3,D205&lt;'TTP Tracker 26'!$C$4),1,0)</f>
        <v>0</v>
      </c>
      <c r="B205" s="180">
        <f>if(and(D205&gt;TODAY(),D205&lt;'TTP Tracker 26'!$C$4),1,0)</f>
        <v>0</v>
      </c>
      <c r="C205" s="180">
        <f>if('TTP Tracker 26'!$B$2="MONTHLY TOTAL",$A205,$B205)</f>
        <v>0</v>
      </c>
      <c r="D205" s="181">
        <v>46078.0</v>
      </c>
      <c r="E205" s="180" t="s">
        <v>213</v>
      </c>
      <c r="F205" s="180">
        <f t="shared" si="7"/>
        <v>0</v>
      </c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</row>
    <row r="206">
      <c r="A206" s="179">
        <f>IF(and(D206&gt;='TTP Tracker 26'!$C$3,D206&lt;'TTP Tracker 26'!$C$4),1,0)</f>
        <v>0</v>
      </c>
      <c r="B206" s="180">
        <f>if(and(D206&gt;TODAY(),D206&lt;'TTP Tracker 26'!$C$4),1,0)</f>
        <v>0</v>
      </c>
      <c r="C206" s="180">
        <f>if('TTP Tracker 26'!$B$2="MONTHLY TOTAL",$A206,$B206)</f>
        <v>0</v>
      </c>
      <c r="D206" s="181">
        <v>46079.0</v>
      </c>
      <c r="E206" s="180" t="s">
        <v>207</v>
      </c>
      <c r="F206" s="180">
        <f t="shared" si="7"/>
        <v>0</v>
      </c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</row>
    <row r="207">
      <c r="A207" s="179">
        <f>IF(and(D207&gt;='TTP Tracker 26'!$C$3,D207&lt;'TTP Tracker 26'!$C$4),1,0)</f>
        <v>0</v>
      </c>
      <c r="B207" s="180">
        <f>if(and(D207&gt;TODAY(),D207&lt;'TTP Tracker 26'!$C$4),1,0)</f>
        <v>0</v>
      </c>
      <c r="C207" s="180">
        <f>if('TTP Tracker 26'!$B$2="MONTHLY TOTAL",$A207,$B207)</f>
        <v>0</v>
      </c>
      <c r="D207" s="181">
        <v>46080.0</v>
      </c>
      <c r="E207" s="180" t="s">
        <v>208</v>
      </c>
      <c r="F207" s="180">
        <f t="shared" si="7"/>
        <v>0</v>
      </c>
      <c r="G207" s="180"/>
      <c r="H207" s="180"/>
      <c r="I207" s="180">
        <f>if('TTP Tracker 26'!$B$2="MONTHLY TOTAL",$A207,$B207)</f>
        <v>0</v>
      </c>
      <c r="J207" s="180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</row>
    <row r="208">
      <c r="A208" s="179">
        <f>IF(and(D208&gt;='TTP Tracker 26'!$C$3,D208&lt;'TTP Tracker 26'!$C$4),1,0)</f>
        <v>0</v>
      </c>
      <c r="B208" s="180">
        <f>if(and(D208&gt;TODAY(),D208&lt;'TTP Tracker 26'!$C$4),1,0)</f>
        <v>0</v>
      </c>
      <c r="C208" s="180">
        <f>if('TTP Tracker 26'!$B$2="MONTHLY TOTAL",$A208,$B208)</f>
        <v>0</v>
      </c>
      <c r="D208" s="181">
        <v>46081.0</v>
      </c>
      <c r="E208" s="180" t="s">
        <v>209</v>
      </c>
      <c r="F208" s="180">
        <f t="shared" si="7"/>
        <v>0</v>
      </c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</row>
    <row r="209">
      <c r="A209" s="179">
        <f>IF(and(D209&gt;='TTP Tracker 26'!$C$3,D209&lt;'TTP Tracker 26'!$C$4),1,0)</f>
        <v>0</v>
      </c>
      <c r="B209" s="180">
        <f>if(and(D209&gt;TODAY(),D209&lt;'TTP Tracker 26'!$C$4),1,0)</f>
        <v>0</v>
      </c>
      <c r="C209" s="180">
        <f>if('TTP Tracker 26'!$B$2="MONTHLY TOTAL",$A209,$B209)</f>
        <v>0</v>
      </c>
      <c r="D209" s="181">
        <v>46082.0</v>
      </c>
      <c r="E209" s="180" t="s">
        <v>210</v>
      </c>
      <c r="F209" s="180">
        <f t="shared" si="7"/>
        <v>0</v>
      </c>
      <c r="H209" s="180"/>
      <c r="I209" s="180"/>
      <c r="J209" s="180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</row>
    <row r="210">
      <c r="A210" s="179">
        <f>IF(and(D210&gt;='TTP Tracker 26'!$C$3,D210&lt;'TTP Tracker 26'!$C$4),1,0)</f>
        <v>0</v>
      </c>
      <c r="B210" s="180">
        <f>if(and(D210&gt;TODAY(),D210&lt;'TTP Tracker 26'!$C$4),1,0)</f>
        <v>0</v>
      </c>
      <c r="C210" s="180">
        <f>if('TTP Tracker 26'!$B$2="MONTHLY TOTAL",$A210,$B210)</f>
        <v>0</v>
      </c>
      <c r="D210" s="181">
        <v>46083.0</v>
      </c>
      <c r="E210" s="180" t="s">
        <v>211</v>
      </c>
      <c r="F210" s="180">
        <f t="shared" si="7"/>
        <v>0</v>
      </c>
      <c r="G210" s="177"/>
      <c r="H210" s="177"/>
      <c r="I210" s="177"/>
      <c r="J210" s="177"/>
      <c r="K210" s="177"/>
      <c r="L210" s="177"/>
      <c r="M210" s="180">
        <f>if('TTP Tracker 26'!$B$2="MONTHLY TOTAL",$A210,$B210)</f>
        <v>0</v>
      </c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  <c r="AE210" s="177"/>
      <c r="AF210" s="177"/>
      <c r="AG210" s="177"/>
      <c r="AH210" s="177"/>
      <c r="AI210" s="177"/>
    </row>
    <row r="211">
      <c r="A211" s="179">
        <f>IF(and(D211&gt;='TTP Tracker 26'!$C$3,D211&lt;'TTP Tracker 26'!$C$4),1,0)</f>
        <v>0</v>
      </c>
      <c r="B211" s="180">
        <f>if(and(D211&gt;TODAY(),D211&lt;'TTP Tracker 26'!$C$4),1,0)</f>
        <v>0</v>
      </c>
      <c r="C211" s="180">
        <f>if('TTP Tracker 26'!$B$2="MONTHLY TOTAL",$A211,$B211)</f>
        <v>0</v>
      </c>
      <c r="D211" s="181">
        <v>46084.0</v>
      </c>
      <c r="E211" s="180" t="s">
        <v>212</v>
      </c>
      <c r="F211" s="180">
        <f t="shared" si="7"/>
        <v>0</v>
      </c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  <c r="AE211" s="177"/>
      <c r="AF211" s="177"/>
      <c r="AG211" s="177"/>
      <c r="AH211" s="177"/>
      <c r="AI211" s="177"/>
    </row>
    <row r="212">
      <c r="A212" s="179">
        <f>IF(and(D212&gt;='TTP Tracker 26'!$C$3,D212&lt;'TTP Tracker 26'!$C$4),1,0)</f>
        <v>0</v>
      </c>
      <c r="B212" s="180">
        <f>if(and(D212&gt;TODAY(),D212&lt;'TTP Tracker 26'!$C$4),1,0)</f>
        <v>0</v>
      </c>
      <c r="C212" s="180">
        <f>if('TTP Tracker 26'!$B$2="MONTHLY TOTAL",$A212,$B212)</f>
        <v>0</v>
      </c>
      <c r="D212" s="181">
        <v>46085.0</v>
      </c>
      <c r="E212" s="180" t="s">
        <v>213</v>
      </c>
      <c r="F212" s="180">
        <f t="shared" si="7"/>
        <v>0</v>
      </c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  <c r="AE212" s="177"/>
      <c r="AF212" s="177"/>
      <c r="AG212" s="177"/>
      <c r="AH212" s="177"/>
      <c r="AI212" s="177"/>
    </row>
    <row r="213">
      <c r="A213" s="179">
        <f>IF(and(D213&gt;='TTP Tracker 26'!$C$3,D213&lt;'TTP Tracker 26'!$C$4),1,0)</f>
        <v>0</v>
      </c>
      <c r="B213" s="180">
        <f>if(and(D213&gt;TODAY(),D213&lt;'TTP Tracker 26'!$C$4),1,0)</f>
        <v>0</v>
      </c>
      <c r="C213" s="180">
        <f>if('TTP Tracker 26'!$B$2="MONTHLY TOTAL",$A213,$B213)</f>
        <v>0</v>
      </c>
      <c r="D213" s="181">
        <v>46086.0</v>
      </c>
      <c r="E213" s="180" t="s">
        <v>207</v>
      </c>
      <c r="F213" s="180">
        <f t="shared" si="7"/>
        <v>0</v>
      </c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  <c r="AE213" s="177"/>
      <c r="AF213" s="177"/>
      <c r="AG213" s="177"/>
      <c r="AH213" s="177"/>
      <c r="AI213" s="177"/>
    </row>
    <row r="214">
      <c r="A214" s="179">
        <f>IF(and(D214&gt;='TTP Tracker 26'!$C$3,D214&lt;'TTP Tracker 26'!$C$4),1,0)</f>
        <v>0</v>
      </c>
      <c r="B214" s="180">
        <f>if(and(D214&gt;TODAY(),D214&lt;'TTP Tracker 26'!$C$4),1,0)</f>
        <v>0</v>
      </c>
      <c r="C214" s="180">
        <f>if('TTP Tracker 26'!$B$2="MONTHLY TOTAL",$A214,$B214)</f>
        <v>0</v>
      </c>
      <c r="D214" s="181">
        <v>46087.0</v>
      </c>
      <c r="E214" s="180" t="s">
        <v>208</v>
      </c>
      <c r="F214" s="180">
        <f t="shared" si="7"/>
        <v>0</v>
      </c>
      <c r="G214" s="180">
        <f>if('TTP Tracker 26'!$B$2="MONTHLY TOTAL",$A214,$B214)</f>
        <v>0</v>
      </c>
      <c r="H214" s="180"/>
      <c r="I214" s="180"/>
      <c r="J214" s="180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</row>
    <row r="215">
      <c r="A215" s="179">
        <f>IF(and(D215&gt;='TTP Tracker 26'!$C$3,D215&lt;'TTP Tracker 26'!$C$4),1,0)</f>
        <v>0</v>
      </c>
      <c r="B215" s="180">
        <f>if(and(D215&gt;TODAY(),D215&lt;'TTP Tracker 26'!$C$4),1,0)</f>
        <v>0</v>
      </c>
      <c r="C215" s="180">
        <f>if('TTP Tracker 26'!$B$2="MONTHLY TOTAL",$A215,$B215)</f>
        <v>0</v>
      </c>
      <c r="D215" s="181">
        <v>46088.0</v>
      </c>
      <c r="E215" s="180" t="s">
        <v>209</v>
      </c>
      <c r="F215" s="180">
        <f t="shared" si="7"/>
        <v>0</v>
      </c>
      <c r="G215" s="177"/>
      <c r="H215" s="177"/>
      <c r="I215" s="177"/>
      <c r="J215" s="177"/>
      <c r="K215" s="180">
        <f>if('TTP Tracker 26'!$B$2="MONTHLY TOTAL",$A215,$B215)</f>
        <v>0</v>
      </c>
      <c r="L215" s="180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</row>
    <row r="216">
      <c r="A216" s="179">
        <f>IF(and(D216&gt;='TTP Tracker 26'!$C$3,D216&lt;'TTP Tracker 26'!$C$4),1,0)</f>
        <v>0</v>
      </c>
      <c r="B216" s="180">
        <f>if(and(D216&gt;TODAY(),D216&lt;'TTP Tracker 26'!$C$4),1,0)</f>
        <v>0</v>
      </c>
      <c r="C216" s="180">
        <f>if('TTP Tracker 26'!$B$2="MONTHLY TOTAL",$A216,$B216)</f>
        <v>0</v>
      </c>
      <c r="D216" s="181">
        <v>46089.0</v>
      </c>
      <c r="E216" s="180" t="s">
        <v>210</v>
      </c>
      <c r="F216" s="180">
        <f t="shared" si="7"/>
        <v>0</v>
      </c>
      <c r="G216" s="180"/>
      <c r="H216" s="180"/>
      <c r="I216" s="180"/>
      <c r="J216" s="180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</row>
    <row r="217">
      <c r="A217" s="179">
        <f>IF(and(D217&gt;='TTP Tracker 26'!$C$3,D217&lt;'TTP Tracker 26'!$C$4),1,0)</f>
        <v>0</v>
      </c>
      <c r="B217" s="180">
        <f>if(and(D217&gt;TODAY(),D217&lt;'TTP Tracker 26'!$C$4),1,0)</f>
        <v>0</v>
      </c>
      <c r="C217" s="180">
        <f>if('TTP Tracker 26'!$B$2="MONTHLY TOTAL",$A217,$B217)</f>
        <v>0</v>
      </c>
      <c r="D217" s="181">
        <v>46090.0</v>
      </c>
      <c r="E217" s="180" t="s">
        <v>211</v>
      </c>
      <c r="F217" s="180">
        <f t="shared" si="7"/>
        <v>0</v>
      </c>
      <c r="G217" s="177"/>
      <c r="H217" s="177"/>
      <c r="I217" s="177"/>
      <c r="J217" s="177"/>
      <c r="L217" s="180">
        <f>if('TTP Tracker 26'!$B$2="MONTHLY TOTAL",$A217,$B217)</f>
        <v>0</v>
      </c>
      <c r="M217" s="180">
        <f>if('TTP Tracker 26'!$B$2="MONTHLY TOTAL",$A217,$B217)</f>
        <v>0</v>
      </c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</row>
    <row r="218">
      <c r="A218" s="179">
        <f>IF(and(D218&gt;='TTP Tracker 26'!$C$3,D218&lt;'TTP Tracker 26'!$C$4),1,0)</f>
        <v>0</v>
      </c>
      <c r="B218" s="180">
        <f>if(and(D218&gt;TODAY(),D218&lt;'TTP Tracker 26'!$C$4),1,0)</f>
        <v>0</v>
      </c>
      <c r="C218" s="180">
        <f>if('TTP Tracker 26'!$B$2="MONTHLY TOTAL",$A218,$B218)</f>
        <v>0</v>
      </c>
      <c r="D218" s="181">
        <v>46091.0</v>
      </c>
      <c r="E218" s="180" t="s">
        <v>212</v>
      </c>
      <c r="F218" s="180">
        <f t="shared" si="7"/>
        <v>0</v>
      </c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</row>
    <row r="219">
      <c r="A219" s="179">
        <f>IF(and(D219&gt;='TTP Tracker 26'!$C$3,D219&lt;'TTP Tracker 26'!$C$4),1,0)</f>
        <v>0</v>
      </c>
      <c r="B219" s="180">
        <f>if(and(D219&gt;TODAY(),D219&lt;'TTP Tracker 26'!$C$4),1,0)</f>
        <v>0</v>
      </c>
      <c r="C219" s="180">
        <f>if('TTP Tracker 26'!$B$2="MONTHLY TOTAL",$A219,$B219)</f>
        <v>0</v>
      </c>
      <c r="D219" s="181">
        <v>46092.0</v>
      </c>
      <c r="E219" s="180" t="s">
        <v>213</v>
      </c>
      <c r="F219" s="180">
        <f t="shared" si="7"/>
        <v>0</v>
      </c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</row>
    <row r="220">
      <c r="A220" s="179">
        <f>IF(and(D220&gt;='TTP Tracker 26'!$C$3,D220&lt;'TTP Tracker 26'!$C$4),1,0)</f>
        <v>0</v>
      </c>
      <c r="B220" s="180">
        <f>if(and(D220&gt;TODAY(),D220&lt;'TTP Tracker 26'!$C$4),1,0)</f>
        <v>0</v>
      </c>
      <c r="C220" s="180">
        <f>if('TTP Tracker 26'!$B$2="MONTHLY TOTAL",$A220,$B220)</f>
        <v>0</v>
      </c>
      <c r="D220" s="181">
        <v>46093.0</v>
      </c>
      <c r="E220" s="180" t="s">
        <v>207</v>
      </c>
      <c r="F220" s="180">
        <f t="shared" si="7"/>
        <v>0</v>
      </c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7"/>
      <c r="AG220" s="177"/>
      <c r="AH220" s="177"/>
      <c r="AI220" s="177"/>
    </row>
    <row r="221">
      <c r="A221" s="179">
        <f>IF(and(D221&gt;='TTP Tracker 26'!$C$3,D221&lt;'TTP Tracker 26'!$C$4),1,0)</f>
        <v>0</v>
      </c>
      <c r="B221" s="180">
        <f>if(and(D221&gt;TODAY(),D221&lt;'TTP Tracker 26'!$C$4),1,0)</f>
        <v>0</v>
      </c>
      <c r="C221" s="180">
        <f>if('TTP Tracker 26'!$B$2="MONTHLY TOTAL",$A221,$B221)</f>
        <v>0</v>
      </c>
      <c r="D221" s="181">
        <v>46094.0</v>
      </c>
      <c r="E221" s="180" t="s">
        <v>208</v>
      </c>
      <c r="F221" s="180">
        <f t="shared" si="7"/>
        <v>0</v>
      </c>
      <c r="G221" s="180"/>
      <c r="H221" s="180"/>
      <c r="I221" s="180">
        <f>if('TTP Tracker 26'!$B$2="MONTHLY TOTAL",$A221,$B221)</f>
        <v>0</v>
      </c>
      <c r="J221" s="180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  <c r="AE221" s="177"/>
      <c r="AF221" s="177"/>
      <c r="AG221" s="177"/>
      <c r="AH221" s="177"/>
      <c r="AI221" s="177"/>
    </row>
    <row r="222">
      <c r="A222" s="179">
        <f>IF(and(D222&gt;='TTP Tracker 26'!$C$3,D222&lt;'TTP Tracker 26'!$C$4),1,0)</f>
        <v>0</v>
      </c>
      <c r="B222" s="180">
        <f>if(and(D222&gt;TODAY(),D222&lt;'TTP Tracker 26'!$C$4),1,0)</f>
        <v>0</v>
      </c>
      <c r="C222" s="180">
        <f>if('TTP Tracker 26'!$B$2="MONTHLY TOTAL",$A222,$B222)</f>
        <v>0</v>
      </c>
      <c r="D222" s="181">
        <v>46095.0</v>
      </c>
      <c r="E222" s="180" t="s">
        <v>209</v>
      </c>
      <c r="F222" s="180">
        <f t="shared" si="7"/>
        <v>0</v>
      </c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</row>
    <row r="223">
      <c r="A223" s="179">
        <f>IF(and(D223&gt;='TTP Tracker 26'!$C$3,D223&lt;'TTP Tracker 26'!$C$4),1,0)</f>
        <v>0</v>
      </c>
      <c r="B223" s="180">
        <f>if(and(D223&gt;TODAY(),D223&lt;'TTP Tracker 26'!$C$4),1,0)</f>
        <v>0</v>
      </c>
      <c r="C223" s="180">
        <f>if('TTP Tracker 26'!$B$2="MONTHLY TOTAL",$A223,$B223)</f>
        <v>0</v>
      </c>
      <c r="D223" s="181">
        <v>46096.0</v>
      </c>
      <c r="E223" s="180" t="s">
        <v>210</v>
      </c>
      <c r="F223" s="180">
        <f t="shared" si="7"/>
        <v>0</v>
      </c>
      <c r="H223" s="180"/>
      <c r="I223" s="180"/>
      <c r="J223" s="180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  <c r="AE223" s="177"/>
      <c r="AF223" s="177"/>
      <c r="AG223" s="177"/>
      <c r="AH223" s="177"/>
      <c r="AI223" s="177"/>
    </row>
    <row r="224">
      <c r="A224" s="179">
        <f>IF(and(D224&gt;='TTP Tracker 26'!$C$3,D224&lt;'TTP Tracker 26'!$C$4),1,0)</f>
        <v>0</v>
      </c>
      <c r="B224" s="180">
        <f>if(and(D224&gt;TODAY(),D224&lt;'TTP Tracker 26'!$C$4),1,0)</f>
        <v>0</v>
      </c>
      <c r="C224" s="180">
        <f>if('TTP Tracker 26'!$B$2="MONTHLY TOTAL",$A224,$B224)</f>
        <v>0</v>
      </c>
      <c r="D224" s="181">
        <v>46097.0</v>
      </c>
      <c r="E224" s="180" t="s">
        <v>211</v>
      </c>
      <c r="F224" s="180">
        <f t="shared" si="7"/>
        <v>0</v>
      </c>
      <c r="G224" s="177"/>
      <c r="H224" s="177"/>
      <c r="I224" s="177"/>
      <c r="J224" s="177"/>
      <c r="K224" s="177"/>
      <c r="L224" s="177"/>
      <c r="M224" s="180">
        <f>if('TTP Tracker 26'!$B$2="MONTHLY TOTAL",$A224,$B224)</f>
        <v>0</v>
      </c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7"/>
      <c r="AI224" s="177"/>
    </row>
    <row r="225">
      <c r="A225" s="179">
        <f>IF(and(D225&gt;='TTP Tracker 26'!$C$3,D225&lt;'TTP Tracker 26'!$C$4),1,0)</f>
        <v>0</v>
      </c>
      <c r="B225" s="180">
        <f>if(and(D225&gt;TODAY(),D225&lt;'TTP Tracker 26'!$C$4),1,0)</f>
        <v>0</v>
      </c>
      <c r="C225" s="180">
        <f>if('TTP Tracker 26'!$B$2="MONTHLY TOTAL",$A225,$B225)</f>
        <v>0</v>
      </c>
      <c r="D225" s="181">
        <v>46098.0</v>
      </c>
      <c r="E225" s="180" t="s">
        <v>212</v>
      </c>
      <c r="F225" s="180">
        <f t="shared" si="7"/>
        <v>0</v>
      </c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77"/>
    </row>
    <row r="226">
      <c r="A226" s="179">
        <f>IF(and(D226&gt;='TTP Tracker 26'!$C$3,D226&lt;'TTP Tracker 26'!$C$4),1,0)</f>
        <v>0</v>
      </c>
      <c r="B226" s="180">
        <f>if(and(D226&gt;TODAY(),D226&lt;'TTP Tracker 26'!$C$4),1,0)</f>
        <v>0</v>
      </c>
      <c r="C226" s="180">
        <f>if('TTP Tracker 26'!$B$2="MONTHLY TOTAL",$A226,$B226)</f>
        <v>0</v>
      </c>
      <c r="D226" s="181">
        <v>46099.0</v>
      </c>
      <c r="E226" s="180" t="s">
        <v>213</v>
      </c>
      <c r="F226" s="180">
        <f t="shared" si="7"/>
        <v>0</v>
      </c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7"/>
      <c r="AD226" s="177"/>
      <c r="AE226" s="177"/>
      <c r="AF226" s="177"/>
      <c r="AG226" s="177"/>
      <c r="AH226" s="177"/>
      <c r="AI226" s="177"/>
    </row>
    <row r="227">
      <c r="A227" s="179">
        <f>IF(and(D227&gt;='TTP Tracker 26'!$C$3,D227&lt;'TTP Tracker 26'!$C$4),1,0)</f>
        <v>0</v>
      </c>
      <c r="B227" s="180">
        <f>if(and(D227&gt;TODAY(),D227&lt;'TTP Tracker 26'!$C$4),1,0)</f>
        <v>0</v>
      </c>
      <c r="C227" s="180">
        <f>if('TTP Tracker 26'!$B$2="MONTHLY TOTAL",$A227,$B227)</f>
        <v>0</v>
      </c>
      <c r="D227" s="181">
        <v>46100.0</v>
      </c>
      <c r="E227" s="180" t="s">
        <v>207</v>
      </c>
      <c r="F227" s="180">
        <f t="shared" si="7"/>
        <v>0</v>
      </c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  <c r="AC227" s="177"/>
      <c r="AD227" s="177"/>
      <c r="AE227" s="177"/>
      <c r="AF227" s="177"/>
      <c r="AG227" s="177"/>
      <c r="AH227" s="177"/>
      <c r="AI227" s="177"/>
    </row>
    <row r="228">
      <c r="A228" s="179">
        <f>IF(and(D228&gt;='TTP Tracker 26'!$C$3,D228&lt;'TTP Tracker 26'!$C$4),1,0)</f>
        <v>0</v>
      </c>
      <c r="B228" s="180">
        <f>if(and(D228&gt;TODAY(),D228&lt;'TTP Tracker 26'!$C$4),1,0)</f>
        <v>0</v>
      </c>
      <c r="C228" s="180">
        <f>if('TTP Tracker 26'!$B$2="MONTHLY TOTAL",$A228,$B228)</f>
        <v>0</v>
      </c>
      <c r="D228" s="181">
        <v>46101.0</v>
      </c>
      <c r="E228" s="180" t="s">
        <v>208</v>
      </c>
      <c r="F228" s="180">
        <f t="shared" si="7"/>
        <v>0</v>
      </c>
      <c r="G228" s="180">
        <f>if('TTP Tracker 26'!$B$2="MONTHLY TOTAL",$A228,$B228)</f>
        <v>0</v>
      </c>
      <c r="H228" s="180"/>
      <c r="I228" s="180"/>
      <c r="J228" s="180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77"/>
    </row>
    <row r="229">
      <c r="A229" s="179">
        <f>IF(and(D229&gt;='TTP Tracker 26'!$C$3,D229&lt;'TTP Tracker 26'!$C$4),1,0)</f>
        <v>0</v>
      </c>
      <c r="B229" s="180">
        <f>if(and(D229&gt;TODAY(),D229&lt;'TTP Tracker 26'!$C$4),1,0)</f>
        <v>0</v>
      </c>
      <c r="C229" s="180">
        <f>if('TTP Tracker 26'!$B$2="MONTHLY TOTAL",$A229,$B229)</f>
        <v>0</v>
      </c>
      <c r="D229" s="181">
        <v>46102.0</v>
      </c>
      <c r="E229" s="180" t="s">
        <v>209</v>
      </c>
      <c r="F229" s="180">
        <f t="shared" si="7"/>
        <v>0</v>
      </c>
      <c r="G229" s="177"/>
      <c r="H229" s="177"/>
      <c r="I229" s="177"/>
      <c r="J229" s="177"/>
      <c r="K229" s="180">
        <f>if('TTP Tracker 26'!$B$2="MONTHLY TOTAL",$A229,$B229)</f>
        <v>0</v>
      </c>
      <c r="L229" s="180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7"/>
      <c r="AI229" s="177"/>
    </row>
    <row r="230">
      <c r="A230" s="179">
        <f>IF(and(D230&gt;='TTP Tracker 26'!$C$3,D230&lt;'TTP Tracker 26'!$C$4),1,0)</f>
        <v>0</v>
      </c>
      <c r="B230" s="180">
        <f>if(and(D230&gt;TODAY(),D230&lt;'TTP Tracker 26'!$C$4),1,0)</f>
        <v>0</v>
      </c>
      <c r="C230" s="180">
        <f>if('TTP Tracker 26'!$B$2="MONTHLY TOTAL",$A230,$B230)</f>
        <v>0</v>
      </c>
      <c r="D230" s="181">
        <v>46103.0</v>
      </c>
      <c r="E230" s="180" t="s">
        <v>210</v>
      </c>
      <c r="F230" s="180">
        <f t="shared" si="7"/>
        <v>0</v>
      </c>
      <c r="G230" s="180"/>
      <c r="H230" s="180"/>
      <c r="I230" s="180"/>
      <c r="J230" s="180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  <c r="AE230" s="177"/>
      <c r="AF230" s="177"/>
      <c r="AG230" s="177"/>
      <c r="AH230" s="177"/>
      <c r="AI230" s="177"/>
    </row>
    <row r="231">
      <c r="A231" s="179">
        <f>IF(and(D231&gt;='TTP Tracker 26'!$C$3,D231&lt;'TTP Tracker 26'!$C$4),1,0)</f>
        <v>0</v>
      </c>
      <c r="B231" s="180">
        <f>if(and(D231&gt;TODAY(),D231&lt;'TTP Tracker 26'!$C$4),1,0)</f>
        <v>0</v>
      </c>
      <c r="C231" s="180">
        <f>if('TTP Tracker 26'!$B$2="MONTHLY TOTAL",$A231,$B231)</f>
        <v>0</v>
      </c>
      <c r="D231" s="181">
        <v>46104.0</v>
      </c>
      <c r="E231" s="180" t="s">
        <v>211</v>
      </c>
      <c r="F231" s="180">
        <f t="shared" si="7"/>
        <v>0</v>
      </c>
      <c r="G231" s="177"/>
      <c r="H231" s="177"/>
      <c r="I231" s="177"/>
      <c r="J231" s="177"/>
      <c r="L231" s="180">
        <f>if('TTP Tracker 26'!$B$2="MONTHLY TOTAL",$A231,$B231)</f>
        <v>0</v>
      </c>
      <c r="M231" s="180">
        <f>if('TTP Tracker 26'!$B$2="MONTHLY TOTAL",$A231,$B231)</f>
        <v>0</v>
      </c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</row>
    <row r="232">
      <c r="A232" s="179">
        <f>IF(and(D232&gt;='TTP Tracker 26'!$C$3,D232&lt;'TTP Tracker 26'!$C$4),1,0)</f>
        <v>0</v>
      </c>
      <c r="B232" s="180">
        <f>if(and(D232&gt;TODAY(),D232&lt;'TTP Tracker 26'!$C$4),1,0)</f>
        <v>0</v>
      </c>
      <c r="C232" s="180">
        <f>if('TTP Tracker 26'!$B$2="MONTHLY TOTAL",$A232,$B232)</f>
        <v>0</v>
      </c>
      <c r="D232" s="181">
        <v>46105.0</v>
      </c>
      <c r="E232" s="180" t="s">
        <v>212</v>
      </c>
      <c r="F232" s="180">
        <f t="shared" si="7"/>
        <v>0</v>
      </c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  <c r="AC232" s="177"/>
      <c r="AD232" s="177"/>
      <c r="AE232" s="177"/>
      <c r="AF232" s="177"/>
      <c r="AG232" s="177"/>
      <c r="AH232" s="177"/>
      <c r="AI232" s="177"/>
    </row>
    <row r="233">
      <c r="A233" s="179">
        <f>IF(and(D233&gt;='TTP Tracker 26'!$C$3,D233&lt;'TTP Tracker 26'!$C$4),1,0)</f>
        <v>0</v>
      </c>
      <c r="B233" s="180">
        <f>if(and(D233&gt;TODAY(),D233&lt;'TTP Tracker 26'!$C$4),1,0)</f>
        <v>0</v>
      </c>
      <c r="C233" s="180">
        <f>if('TTP Tracker 26'!$B$2="MONTHLY TOTAL",$A233,$B233)</f>
        <v>0</v>
      </c>
      <c r="D233" s="181">
        <v>46106.0</v>
      </c>
      <c r="E233" s="180" t="s">
        <v>213</v>
      </c>
      <c r="F233" s="180">
        <f t="shared" si="7"/>
        <v>0</v>
      </c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  <c r="AE233" s="177"/>
      <c r="AF233" s="177"/>
      <c r="AG233" s="177"/>
      <c r="AH233" s="177"/>
      <c r="AI233" s="177"/>
    </row>
    <row r="234">
      <c r="A234" s="179">
        <f>IF(and(D234&gt;='TTP Tracker 26'!$C$3,D234&lt;'TTP Tracker 26'!$C$4),1,0)</f>
        <v>0</v>
      </c>
      <c r="B234" s="180">
        <f>if(and(D234&gt;TODAY(),D234&lt;'TTP Tracker 26'!$C$4),1,0)</f>
        <v>0</v>
      </c>
      <c r="C234" s="180">
        <f>if('TTP Tracker 26'!$B$2="MONTHLY TOTAL",$A234,$B234)</f>
        <v>0</v>
      </c>
      <c r="D234" s="181">
        <v>46107.0</v>
      </c>
      <c r="E234" s="180" t="s">
        <v>207</v>
      </c>
      <c r="F234" s="180">
        <f t="shared" si="7"/>
        <v>0</v>
      </c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7"/>
      <c r="AD234" s="177"/>
      <c r="AE234" s="177"/>
      <c r="AF234" s="177"/>
      <c r="AG234" s="177"/>
      <c r="AH234" s="177"/>
      <c r="AI234" s="177"/>
    </row>
    <row r="235">
      <c r="A235" s="179">
        <f>IF(and(D235&gt;='TTP Tracker 26'!$C$3,D235&lt;'TTP Tracker 26'!$C$4),1,0)</f>
        <v>0</v>
      </c>
      <c r="B235" s="180">
        <f>if(and(D235&gt;TODAY(),D235&lt;'TTP Tracker 26'!$C$4),1,0)</f>
        <v>0</v>
      </c>
      <c r="C235" s="180">
        <f>if('TTP Tracker 26'!$B$2="MONTHLY TOTAL",$A235,$B235)</f>
        <v>0</v>
      </c>
      <c r="D235" s="181">
        <v>46108.0</v>
      </c>
      <c r="E235" s="180" t="s">
        <v>208</v>
      </c>
      <c r="F235" s="180">
        <f t="shared" si="7"/>
        <v>0</v>
      </c>
      <c r="G235" s="180"/>
      <c r="H235" s="180"/>
      <c r="I235" s="180">
        <f>if('TTP Tracker 26'!$B$2="MONTHLY TOTAL",$A235,$B235)</f>
        <v>0</v>
      </c>
      <c r="J235" s="180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  <c r="AI235" s="177"/>
    </row>
    <row r="236">
      <c r="A236" s="179">
        <f>IF(and(D236&gt;='TTP Tracker 26'!$C$3,D236&lt;'TTP Tracker 26'!$C$4),1,0)</f>
        <v>0</v>
      </c>
      <c r="B236" s="180">
        <f>if(and(D236&gt;TODAY(),D236&lt;'TTP Tracker 26'!$C$4),1,0)</f>
        <v>0</v>
      </c>
      <c r="C236" s="180">
        <f>if('TTP Tracker 26'!$B$2="MONTHLY TOTAL",$A236,$B236)</f>
        <v>0</v>
      </c>
      <c r="D236" s="181">
        <v>46109.0</v>
      </c>
      <c r="E236" s="180" t="s">
        <v>209</v>
      </c>
      <c r="F236" s="180">
        <f t="shared" si="7"/>
        <v>0</v>
      </c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  <c r="AE236" s="177"/>
      <c r="AF236" s="177"/>
      <c r="AG236" s="177"/>
      <c r="AH236" s="177"/>
      <c r="AI236" s="177"/>
    </row>
    <row r="237">
      <c r="A237" s="179">
        <f>IF(and(D237&gt;='TTP Tracker 26'!$C$3,D237&lt;'TTP Tracker 26'!$C$4),1,0)</f>
        <v>0</v>
      </c>
      <c r="B237" s="180">
        <f>if(and(D237&gt;TODAY(),D237&lt;'TTP Tracker 26'!$C$4),1,0)</f>
        <v>0</v>
      </c>
      <c r="C237" s="180">
        <f>if('TTP Tracker 26'!$B$2="MONTHLY TOTAL",$A237,$B237)</f>
        <v>0</v>
      </c>
      <c r="D237" s="181">
        <v>46110.0</v>
      </c>
      <c r="E237" s="180" t="s">
        <v>210</v>
      </c>
      <c r="F237" s="180">
        <f t="shared" si="7"/>
        <v>0</v>
      </c>
      <c r="H237" s="180"/>
      <c r="I237" s="180"/>
      <c r="J237" s="180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</row>
    <row r="238">
      <c r="A238" s="179">
        <f>IF(and(D238&gt;='TTP Tracker 26'!$C$3,D238&lt;'TTP Tracker 26'!$C$4),1,0)</f>
        <v>0</v>
      </c>
      <c r="B238" s="180">
        <f>if(and(D238&gt;TODAY(),D238&lt;'TTP Tracker 26'!$C$4),1,0)</f>
        <v>0</v>
      </c>
      <c r="C238" s="180">
        <f>if('TTP Tracker 26'!$B$2="MONTHLY TOTAL",$A238,$B238)</f>
        <v>0</v>
      </c>
      <c r="D238" s="181">
        <v>46111.0</v>
      </c>
      <c r="E238" s="180" t="s">
        <v>211</v>
      </c>
      <c r="F238" s="180">
        <f t="shared" si="7"/>
        <v>0</v>
      </c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7"/>
      <c r="AI238" s="177"/>
    </row>
    <row r="239">
      <c r="A239" s="179">
        <f>IF(and(D239&gt;='TTP Tracker 26'!$C$3,D239&lt;'TTP Tracker 26'!$C$4),1,0)</f>
        <v>0</v>
      </c>
      <c r="B239" s="180">
        <f>if(and(D239&gt;TODAY(),D239&lt;'TTP Tracker 26'!$C$4),1,0)</f>
        <v>0</v>
      </c>
      <c r="C239" s="180">
        <f>if('TTP Tracker 26'!$B$2="MONTHLY TOTAL",$A239,$B239)</f>
        <v>0</v>
      </c>
      <c r="D239" s="181">
        <v>46112.0</v>
      </c>
      <c r="E239" s="180" t="s">
        <v>212</v>
      </c>
      <c r="F239" s="180">
        <f t="shared" si="7"/>
        <v>0</v>
      </c>
      <c r="H239" s="180"/>
      <c r="I239" s="180"/>
      <c r="J239" s="180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</row>
    <row r="240">
      <c r="A240" s="179">
        <f>IF(and(D240&gt;='TTP Tracker 26'!$C$3,D240&lt;'TTP Tracker 26'!$C$4),1,0)</f>
        <v>0</v>
      </c>
      <c r="B240" s="180">
        <f>if(and(D240&gt;TODAY(),D240&lt;'TTP Tracker 26'!$C$4),1,0)</f>
        <v>0</v>
      </c>
      <c r="C240" s="180">
        <f>if('TTP Tracker 26'!$B$2="MONTHLY TOTAL",$A240,$B240)</f>
        <v>0</v>
      </c>
      <c r="D240" s="181">
        <v>46113.0</v>
      </c>
      <c r="E240" s="180" t="s">
        <v>213</v>
      </c>
      <c r="F240" s="180">
        <f t="shared" si="7"/>
        <v>0</v>
      </c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</row>
    <row r="241">
      <c r="A241" s="179">
        <f>IF(and(D241&gt;='TTP Tracker 26'!$C$3,D241&lt;'TTP Tracker 26'!$C$4),1,0)</f>
        <v>0</v>
      </c>
      <c r="B241" s="180">
        <f>if(and(D241&gt;TODAY(),D241&lt;'TTP Tracker 26'!$C$4),1,0)</f>
        <v>0</v>
      </c>
      <c r="C241" s="180">
        <f>if('TTP Tracker 26'!$B$2="MONTHLY TOTAL",$A241,$B241)</f>
        <v>0</v>
      </c>
      <c r="D241" s="181">
        <v>46114.0</v>
      </c>
      <c r="E241" s="180" t="s">
        <v>207</v>
      </c>
      <c r="F241" s="180">
        <f t="shared" si="7"/>
        <v>0</v>
      </c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</row>
    <row r="242">
      <c r="A242" s="179">
        <f>IF(and(D242&gt;='TTP Tracker 26'!$C$3,D242&lt;'TTP Tracker 26'!$C$4),1,0)</f>
        <v>0</v>
      </c>
      <c r="B242" s="180">
        <f>if(and(D242&gt;TODAY(),D242&lt;'TTP Tracker 26'!$C$4),1,0)</f>
        <v>0</v>
      </c>
      <c r="C242" s="180">
        <f>if('TTP Tracker 26'!$B$2="MONTHLY TOTAL",$A242,$B242)</f>
        <v>0</v>
      </c>
      <c r="D242" s="181">
        <v>46115.0</v>
      </c>
      <c r="E242" s="180" t="s">
        <v>208</v>
      </c>
      <c r="F242" s="180">
        <f t="shared" si="7"/>
        <v>0</v>
      </c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</row>
    <row r="243">
      <c r="A243" s="179">
        <f>IF(and(D243&gt;='TTP Tracker 26'!$C$3,D243&lt;'TTP Tracker 26'!$C$4),1,0)</f>
        <v>0</v>
      </c>
      <c r="B243" s="180">
        <f>if(and(D243&gt;TODAY(),D243&lt;'TTP Tracker 26'!$C$4),1,0)</f>
        <v>0</v>
      </c>
      <c r="C243" s="180">
        <f>if('TTP Tracker 26'!$B$2="MONTHLY TOTAL",$A243,$B243)</f>
        <v>0</v>
      </c>
      <c r="D243" s="181">
        <v>46116.0</v>
      </c>
      <c r="E243" s="180" t="s">
        <v>209</v>
      </c>
      <c r="F243" s="180">
        <f t="shared" si="7"/>
        <v>0</v>
      </c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</row>
    <row r="244">
      <c r="A244" s="179">
        <f>IF(and(D244&gt;='TTP Tracker 26'!$C$3,D244&lt;'TTP Tracker 26'!$C$4),1,0)</f>
        <v>0</v>
      </c>
      <c r="B244" s="180">
        <f>if(and(D244&gt;TODAY(),D244&lt;'TTP Tracker 26'!$C$4),1,0)</f>
        <v>0</v>
      </c>
      <c r="C244" s="180">
        <f>if('TTP Tracker 26'!$B$2="MONTHLY TOTAL",$A244,$B244)</f>
        <v>0</v>
      </c>
      <c r="D244" s="181">
        <v>46117.0</v>
      </c>
      <c r="E244" s="180" t="s">
        <v>210</v>
      </c>
      <c r="F244" s="180">
        <f t="shared" si="7"/>
        <v>0</v>
      </c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</row>
    <row r="245">
      <c r="A245" s="179">
        <f>IF(and(D245&gt;='TTP Tracker 26'!$C$3,D245&lt;'TTP Tracker 26'!$C$4),1,0)</f>
        <v>0</v>
      </c>
      <c r="B245" s="180">
        <f>if(and(D245&gt;TODAY(),D245&lt;'TTP Tracker 26'!$C$4),1,0)</f>
        <v>0</v>
      </c>
      <c r="C245" s="180">
        <f>if('TTP Tracker 26'!$B$2="MONTHLY TOTAL",$A245,$B245)</f>
        <v>0</v>
      </c>
      <c r="D245" s="181">
        <v>46118.0</v>
      </c>
      <c r="E245" s="180" t="s">
        <v>211</v>
      </c>
      <c r="F245" s="180">
        <f t="shared" si="7"/>
        <v>0</v>
      </c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</row>
    <row r="246">
      <c r="A246" s="179">
        <f>IF(and(D246&gt;='TTP Tracker 26'!$C$3,D246&lt;'TTP Tracker 26'!$C$4),1,0)</f>
        <v>0</v>
      </c>
      <c r="B246" s="180">
        <f>if(and(D246&gt;TODAY(),D246&lt;'TTP Tracker 26'!$C$4),1,0)</f>
        <v>0</v>
      </c>
      <c r="C246" s="180">
        <f>if('TTP Tracker 26'!$B$2="MONTHLY TOTAL",$A246,$B246)</f>
        <v>0</v>
      </c>
      <c r="D246" s="181">
        <v>46119.0</v>
      </c>
      <c r="E246" s="180" t="s">
        <v>212</v>
      </c>
      <c r="F246" s="180">
        <f t="shared" si="7"/>
        <v>0</v>
      </c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</row>
    <row r="247">
      <c r="A247" s="179">
        <f>IF(and(D247&gt;='TTP Tracker 26'!$C$3,D247&lt;'TTP Tracker 26'!$C$4),1,0)</f>
        <v>0</v>
      </c>
      <c r="B247" s="180">
        <f>if(and(D247&gt;TODAY(),D247&lt;'TTP Tracker 26'!$C$4),1,0)</f>
        <v>0</v>
      </c>
      <c r="C247" s="180">
        <f>if('TTP Tracker 26'!$B$2="MONTHLY TOTAL",$A247,$B247)</f>
        <v>0</v>
      </c>
      <c r="D247" s="181">
        <v>46120.0</v>
      </c>
      <c r="E247" s="180" t="s">
        <v>213</v>
      </c>
      <c r="F247" s="180">
        <f t="shared" si="7"/>
        <v>0</v>
      </c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</row>
    <row r="248">
      <c r="A248" s="179">
        <f>IF(and(D248&gt;='TTP Tracker 26'!$C$3,D248&lt;'TTP Tracker 26'!$C$4),1,0)</f>
        <v>0</v>
      </c>
      <c r="B248" s="180">
        <f>if(and(D248&gt;TODAY(),D248&lt;'TTP Tracker 26'!$C$4),1,0)</f>
        <v>0</v>
      </c>
      <c r="C248" s="180">
        <f>if('TTP Tracker 26'!$B$2="MONTHLY TOTAL",$A248,$B248)</f>
        <v>0</v>
      </c>
      <c r="D248" s="181">
        <v>46121.0</v>
      </c>
      <c r="E248" s="180" t="s">
        <v>207</v>
      </c>
      <c r="F248" s="180">
        <f t="shared" si="7"/>
        <v>0</v>
      </c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</row>
    <row r="249">
      <c r="A249" s="179">
        <f>IF(and(D249&gt;='TTP Tracker 26'!$C$3,D249&lt;'TTP Tracker 26'!$C$4),1,0)</f>
        <v>0</v>
      </c>
      <c r="B249" s="180">
        <f>if(and(D249&gt;TODAY(),D249&lt;'TTP Tracker 26'!$C$4),1,0)</f>
        <v>0</v>
      </c>
      <c r="C249" s="180">
        <f>if('TTP Tracker 26'!$B$2="MONTHLY TOTAL",$A249,$B249)</f>
        <v>0</v>
      </c>
      <c r="D249" s="181">
        <v>46122.0</v>
      </c>
      <c r="E249" s="180" t="s">
        <v>208</v>
      </c>
      <c r="F249" s="180">
        <f t="shared" si="7"/>
        <v>0</v>
      </c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</row>
    <row r="250">
      <c r="A250" s="179">
        <f>IF(and(D250&gt;='TTP Tracker 26'!$C$3,D250&lt;'TTP Tracker 26'!$C$4),1,0)</f>
        <v>0</v>
      </c>
      <c r="B250" s="180">
        <f>if(and(D250&gt;TODAY(),D250&lt;'TTP Tracker 26'!$C$4),1,0)</f>
        <v>0</v>
      </c>
      <c r="C250" s="180">
        <f>if('TTP Tracker 26'!$B$2="MONTHLY TOTAL",$A250,$B250)</f>
        <v>0</v>
      </c>
      <c r="D250" s="181">
        <v>46123.0</v>
      </c>
      <c r="E250" s="180" t="s">
        <v>209</v>
      </c>
      <c r="F250" s="180">
        <f t="shared" si="7"/>
        <v>0</v>
      </c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</row>
    <row r="251">
      <c r="A251" s="179">
        <f>IF(and(D251&gt;='TTP Tracker 26'!$C$3,D251&lt;'TTP Tracker 26'!$C$4),1,0)</f>
        <v>0</v>
      </c>
      <c r="B251" s="180">
        <f>if(and(D251&gt;TODAY(),D251&lt;'TTP Tracker 26'!$C$4),1,0)</f>
        <v>0</v>
      </c>
      <c r="C251" s="180">
        <f>if('TTP Tracker 26'!$B$2="MONTHLY TOTAL",$A251,$B251)</f>
        <v>0</v>
      </c>
      <c r="D251" s="181">
        <v>46124.0</v>
      </c>
      <c r="E251" s="180" t="s">
        <v>210</v>
      </c>
      <c r="F251" s="180">
        <f t="shared" si="7"/>
        <v>0</v>
      </c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</row>
    <row r="252">
      <c r="A252" s="179">
        <f>IF(and(D252&gt;='TTP Tracker 26'!$C$3,D252&lt;'TTP Tracker 26'!$C$4),1,0)</f>
        <v>0</v>
      </c>
      <c r="B252" s="180">
        <f>if(and(D252&gt;TODAY(),D252&lt;'TTP Tracker 26'!$C$4),1,0)</f>
        <v>0</v>
      </c>
      <c r="C252" s="180">
        <f>if('TTP Tracker 26'!$B$2="MONTHLY TOTAL",$A252,$B252)</f>
        <v>0</v>
      </c>
      <c r="D252" s="181">
        <v>46125.0</v>
      </c>
      <c r="E252" s="180" t="s">
        <v>211</v>
      </c>
      <c r="F252" s="180">
        <f t="shared" si="7"/>
        <v>0</v>
      </c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</row>
    <row r="253">
      <c r="A253" s="179">
        <f>IF(and(D253&gt;='TTP Tracker 26'!$C$3,D253&lt;'TTP Tracker 26'!$C$4),1,0)</f>
        <v>0</v>
      </c>
      <c r="B253" s="180">
        <f>if(and(D253&gt;TODAY(),D253&lt;'TTP Tracker 26'!$C$4),1,0)</f>
        <v>0</v>
      </c>
      <c r="C253" s="180">
        <f>if('TTP Tracker 26'!$B$2="MONTHLY TOTAL",$A253,$B253)</f>
        <v>0</v>
      </c>
      <c r="D253" s="181">
        <v>46126.0</v>
      </c>
      <c r="E253" s="180" t="s">
        <v>212</v>
      </c>
      <c r="F253" s="180">
        <f t="shared" si="7"/>
        <v>0</v>
      </c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</row>
    <row r="254">
      <c r="A254" s="179">
        <f>IF(and(D254&gt;='TTP Tracker 26'!$C$3,D254&lt;'TTP Tracker 26'!$C$4),1,0)</f>
        <v>0</v>
      </c>
      <c r="B254" s="180">
        <f>if(and(D254&gt;TODAY(),D254&lt;'TTP Tracker 26'!$C$4),1,0)</f>
        <v>0</v>
      </c>
      <c r="C254" s="180">
        <f>if('TTP Tracker 26'!$B$2="MONTHLY TOTAL",$A254,$B254)</f>
        <v>0</v>
      </c>
      <c r="D254" s="181">
        <v>46127.0</v>
      </c>
      <c r="E254" s="180" t="s">
        <v>213</v>
      </c>
      <c r="F254" s="180">
        <f t="shared" si="7"/>
        <v>0</v>
      </c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</row>
    <row r="255">
      <c r="A255" s="179">
        <f>IF(and(D255&gt;='TTP Tracker 26'!$C$3,D255&lt;'TTP Tracker 26'!$C$4),1,0)</f>
        <v>0</v>
      </c>
      <c r="B255" s="180">
        <f>if(and(D255&gt;TODAY(),D255&lt;'TTP Tracker 26'!$C$4),1,0)</f>
        <v>0</v>
      </c>
      <c r="C255" s="180">
        <f>if('TTP Tracker 26'!$B$2="MONTHLY TOTAL",$A255,$B255)</f>
        <v>0</v>
      </c>
      <c r="D255" s="181">
        <v>46128.0</v>
      </c>
      <c r="E255" s="180" t="s">
        <v>207</v>
      </c>
      <c r="F255" s="180">
        <f t="shared" si="7"/>
        <v>0</v>
      </c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</row>
    <row r="256">
      <c r="A256" s="179">
        <f>IF(and(D256&gt;='TTP Tracker 26'!$C$3,D256&lt;'TTP Tracker 26'!$C$4),1,0)</f>
        <v>0</v>
      </c>
      <c r="B256" s="180">
        <f>if(and(D256&gt;TODAY(),D256&lt;'TTP Tracker 26'!$C$4),1,0)</f>
        <v>0</v>
      </c>
      <c r="C256" s="180">
        <f>if('TTP Tracker 26'!$B$2="MONTHLY TOTAL",$A256,$B256)</f>
        <v>0</v>
      </c>
      <c r="D256" s="181">
        <v>46129.0</v>
      </c>
      <c r="E256" s="180" t="s">
        <v>208</v>
      </c>
      <c r="F256" s="180">
        <f t="shared" si="7"/>
        <v>0</v>
      </c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</row>
    <row r="257">
      <c r="A257" s="179">
        <f>IF(and(D257&gt;='TTP Tracker 26'!$C$3,D257&lt;'TTP Tracker 26'!$C$4),1,0)</f>
        <v>0</v>
      </c>
      <c r="B257" s="180">
        <f>if(and(D257&gt;TODAY(),D257&lt;'TTP Tracker 26'!$C$4),1,0)</f>
        <v>0</v>
      </c>
      <c r="C257" s="180">
        <f>if('TTP Tracker 26'!$B$2="MONTHLY TOTAL",$A257,$B257)</f>
        <v>0</v>
      </c>
      <c r="D257" s="181">
        <v>46130.0</v>
      </c>
      <c r="E257" s="180" t="s">
        <v>209</v>
      </c>
      <c r="F257" s="180">
        <f t="shared" si="7"/>
        <v>0</v>
      </c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</row>
    <row r="258">
      <c r="A258" s="179">
        <f>IF(and(D258&gt;='TTP Tracker 26'!$C$3,D258&lt;'TTP Tracker 26'!$C$4),1,0)</f>
        <v>0</v>
      </c>
      <c r="B258" s="180">
        <f>if(and(D258&gt;TODAY(),D258&lt;'TTP Tracker 26'!$C$4),1,0)</f>
        <v>0</v>
      </c>
      <c r="C258" s="180">
        <f>if('TTP Tracker 26'!$B$2="MONTHLY TOTAL",$A258,$B258)</f>
        <v>0</v>
      </c>
      <c r="D258" s="181">
        <v>46131.0</v>
      </c>
      <c r="E258" s="180" t="s">
        <v>210</v>
      </c>
      <c r="F258" s="180">
        <f t="shared" si="7"/>
        <v>0</v>
      </c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</row>
    <row r="259">
      <c r="A259" s="179">
        <f>IF(and(D259&gt;='TTP Tracker 26'!$C$3,D259&lt;'TTP Tracker 26'!$C$4),1,0)</f>
        <v>0</v>
      </c>
      <c r="B259" s="180">
        <f>if(and(D259&gt;TODAY(),D259&lt;'TTP Tracker 26'!$C$4),1,0)</f>
        <v>0</v>
      </c>
      <c r="C259" s="180">
        <f>if('TTP Tracker 26'!$B$2="MONTHLY TOTAL",$A259,$B259)</f>
        <v>0</v>
      </c>
      <c r="D259" s="181">
        <v>46132.0</v>
      </c>
      <c r="E259" s="180" t="s">
        <v>211</v>
      </c>
      <c r="F259" s="180">
        <f t="shared" si="7"/>
        <v>0</v>
      </c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</row>
    <row r="260">
      <c r="A260" s="179">
        <f>IF(and(D260&gt;='TTP Tracker 26'!$C$3,D260&lt;'TTP Tracker 26'!$C$4),1,0)</f>
        <v>0</v>
      </c>
      <c r="B260" s="180">
        <f>if(and(D260&gt;TODAY(),D260&lt;'TTP Tracker 26'!$C$4),1,0)</f>
        <v>0</v>
      </c>
      <c r="C260" s="180">
        <f>if('TTP Tracker 26'!$B$2="MONTHLY TOTAL",$A260,$B260)</f>
        <v>0</v>
      </c>
      <c r="D260" s="181">
        <v>46133.0</v>
      </c>
      <c r="E260" s="180" t="s">
        <v>212</v>
      </c>
      <c r="F260" s="180">
        <f t="shared" si="7"/>
        <v>0</v>
      </c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</row>
    <row r="261">
      <c r="A261" s="179">
        <f>IF(and(D261&gt;='TTP Tracker 26'!$C$3,D261&lt;'TTP Tracker 26'!$C$4),1,0)</f>
        <v>0</v>
      </c>
      <c r="B261" s="180">
        <f>if(and(D261&gt;TODAY(),D261&lt;'TTP Tracker 26'!$C$4),1,0)</f>
        <v>0</v>
      </c>
      <c r="C261" s="180">
        <f>if('TTP Tracker 26'!$B$2="MONTHLY TOTAL",$A261,$B261)</f>
        <v>0</v>
      </c>
      <c r="D261" s="181">
        <v>46134.0</v>
      </c>
      <c r="E261" s="180" t="s">
        <v>213</v>
      </c>
      <c r="F261" s="180">
        <f t="shared" si="7"/>
        <v>0</v>
      </c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  <c r="AE261" s="177"/>
      <c r="AF261" s="177"/>
      <c r="AG261" s="177"/>
      <c r="AH261" s="177"/>
      <c r="AI261" s="177"/>
    </row>
    <row r="262">
      <c r="A262" s="179">
        <f>IF(and(D262&gt;='TTP Tracker 26'!$C$3,D262&lt;'TTP Tracker 26'!$C$4),1,0)</f>
        <v>0</v>
      </c>
      <c r="B262" s="180">
        <f>if(and(D262&gt;TODAY(),D262&lt;'TTP Tracker 26'!$C$4),1,0)</f>
        <v>0</v>
      </c>
      <c r="C262" s="180">
        <f>if('TTP Tracker 26'!$B$2="MONTHLY TOTAL",$A262,$B262)</f>
        <v>0</v>
      </c>
      <c r="D262" s="181">
        <v>46135.0</v>
      </c>
      <c r="E262" s="180" t="s">
        <v>207</v>
      </c>
      <c r="F262" s="180">
        <f t="shared" si="7"/>
        <v>0</v>
      </c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  <c r="AC262" s="177"/>
      <c r="AD262" s="177"/>
      <c r="AE262" s="177"/>
      <c r="AF262" s="177"/>
      <c r="AG262" s="177"/>
      <c r="AH262" s="177"/>
      <c r="AI262" s="177"/>
    </row>
    <row r="263">
      <c r="A263" s="179">
        <f>IF(and(D263&gt;='TTP Tracker 26'!$C$3,D263&lt;'TTP Tracker 26'!$C$4),1,0)</f>
        <v>0</v>
      </c>
      <c r="B263" s="180">
        <f>if(and(D263&gt;TODAY(),D263&lt;'TTP Tracker 26'!$C$4),1,0)</f>
        <v>0</v>
      </c>
      <c r="C263" s="180">
        <f>if('TTP Tracker 26'!$B$2="MONTHLY TOTAL",$A263,$B263)</f>
        <v>0</v>
      </c>
      <c r="D263" s="181">
        <v>46136.0</v>
      </c>
      <c r="E263" s="180" t="s">
        <v>208</v>
      </c>
      <c r="F263" s="180">
        <f t="shared" si="7"/>
        <v>0</v>
      </c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  <c r="AC263" s="177"/>
      <c r="AD263" s="177"/>
      <c r="AE263" s="177"/>
      <c r="AF263" s="177"/>
      <c r="AG263" s="177"/>
      <c r="AH263" s="177"/>
      <c r="AI263" s="177"/>
    </row>
    <row r="264">
      <c r="A264" s="179">
        <f>IF(and(D264&gt;='TTP Tracker 26'!$C$3,D264&lt;'TTP Tracker 26'!$C$4),1,0)</f>
        <v>0</v>
      </c>
      <c r="B264" s="180">
        <f>if(and(D264&gt;TODAY(),D264&lt;'TTP Tracker 26'!$C$4),1,0)</f>
        <v>0</v>
      </c>
      <c r="C264" s="180">
        <f>if('TTP Tracker 26'!$B$2="MONTHLY TOTAL",$A264,$B264)</f>
        <v>0</v>
      </c>
      <c r="D264" s="181">
        <v>46137.0</v>
      </c>
      <c r="E264" s="180" t="s">
        <v>209</v>
      </c>
      <c r="F264" s="180">
        <f t="shared" si="7"/>
        <v>0</v>
      </c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</row>
    <row r="265">
      <c r="A265" s="179">
        <f>IF(and(D265&gt;='TTP Tracker 26'!$C$3,D265&lt;'TTP Tracker 26'!$C$4),1,0)</f>
        <v>0</v>
      </c>
      <c r="B265" s="180">
        <f>if(and(D265&gt;TODAY(),D265&lt;'TTP Tracker 26'!$C$4),1,0)</f>
        <v>0</v>
      </c>
      <c r="C265" s="180">
        <f>if('TTP Tracker 26'!$B$2="MONTHLY TOTAL",$A265,$B265)</f>
        <v>0</v>
      </c>
      <c r="D265" s="181">
        <v>46138.0</v>
      </c>
      <c r="E265" s="180" t="s">
        <v>210</v>
      </c>
      <c r="F265" s="180">
        <f t="shared" si="7"/>
        <v>0</v>
      </c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</row>
    <row r="266">
      <c r="A266" s="179">
        <f>IF(and(D266&gt;='TTP Tracker 26'!$C$3,D266&lt;'TTP Tracker 26'!$C$4),1,0)</f>
        <v>0</v>
      </c>
      <c r="B266" s="180">
        <f>if(and(D266&gt;TODAY(),D266&lt;'TTP Tracker 26'!$C$4),1,0)</f>
        <v>0</v>
      </c>
      <c r="C266" s="180">
        <f>if('TTP Tracker 26'!$B$2="MONTHLY TOTAL",$A266,$B266)</f>
        <v>0</v>
      </c>
      <c r="D266" s="181">
        <v>46139.0</v>
      </c>
      <c r="E266" s="180" t="s">
        <v>211</v>
      </c>
      <c r="F266" s="180">
        <f t="shared" si="7"/>
        <v>0</v>
      </c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</row>
    <row r="267">
      <c r="A267" s="179">
        <f>IF(and(D267&gt;='TTP Tracker 26'!$C$3,D267&lt;'TTP Tracker 26'!$C$4),1,0)</f>
        <v>0</v>
      </c>
      <c r="B267" s="180">
        <f>if(and(D267&gt;TODAY(),D267&lt;'TTP Tracker 26'!$C$4),1,0)</f>
        <v>0</v>
      </c>
      <c r="C267" s="180">
        <f>if('TTP Tracker 26'!$B$2="MONTHLY TOTAL",$A267,$B267)</f>
        <v>0</v>
      </c>
      <c r="D267" s="181">
        <v>46140.0</v>
      </c>
      <c r="E267" s="180" t="s">
        <v>212</v>
      </c>
      <c r="F267" s="180">
        <f t="shared" si="7"/>
        <v>0</v>
      </c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</row>
    <row r="268">
      <c r="A268" s="179">
        <f>IF(and(D268&gt;='TTP Tracker 26'!$C$3,D268&lt;'TTP Tracker 26'!$C$4),1,0)</f>
        <v>0</v>
      </c>
      <c r="B268" s="180">
        <f>if(and(D268&gt;TODAY(),D268&lt;'TTP Tracker 26'!$C$4),1,0)</f>
        <v>0</v>
      </c>
      <c r="C268" s="180">
        <f>if('TTP Tracker 26'!$B$2="MONTHLY TOTAL",$A268,$B268)</f>
        <v>0</v>
      </c>
      <c r="D268" s="181">
        <v>46141.0</v>
      </c>
      <c r="E268" s="180" t="s">
        <v>213</v>
      </c>
      <c r="F268" s="180">
        <f t="shared" si="7"/>
        <v>0</v>
      </c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</row>
    <row r="269">
      <c r="A269" s="179">
        <f>IF(and(D269&gt;='TTP Tracker 26'!$C$3,D269&lt;'TTP Tracker 26'!$C$4),1,0)</f>
        <v>0</v>
      </c>
      <c r="B269" s="180">
        <f>if(and(D269&gt;TODAY(),D269&lt;'TTP Tracker 26'!$C$4),1,0)</f>
        <v>0</v>
      </c>
      <c r="C269" s="180">
        <f>if('TTP Tracker 26'!$B$2="MONTHLY TOTAL",$A269,$B269)</f>
        <v>0</v>
      </c>
      <c r="D269" s="181">
        <v>46142.0</v>
      </c>
      <c r="E269" s="180" t="s">
        <v>207</v>
      </c>
      <c r="F269" s="180">
        <f t="shared" si="7"/>
        <v>0</v>
      </c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</row>
    <row r="270">
      <c r="A270" s="179">
        <f>IF(and(D270&gt;='TTP Tracker 26'!$C$3,D270&lt;'TTP Tracker 26'!$C$4),1,0)</f>
        <v>0</v>
      </c>
      <c r="B270" s="180">
        <f>if(and(D270&gt;TODAY(),D270&lt;'TTP Tracker 26'!$C$4),1,0)</f>
        <v>0</v>
      </c>
      <c r="C270" s="180">
        <f>if('TTP Tracker 26'!$B$2="MONTHLY TOTAL",$A270,$B270)</f>
        <v>0</v>
      </c>
      <c r="D270" s="181">
        <v>46143.0</v>
      </c>
      <c r="E270" s="180" t="s">
        <v>208</v>
      </c>
      <c r="F270" s="180">
        <f t="shared" si="7"/>
        <v>0</v>
      </c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</row>
    <row r="271">
      <c r="A271" s="179">
        <f>IF(and(D271&gt;='TTP Tracker 26'!$C$3,D271&lt;'TTP Tracker 26'!$C$4),1,0)</f>
        <v>0</v>
      </c>
      <c r="B271" s="180">
        <f>if(and(D271&gt;TODAY(),D271&lt;'TTP Tracker 26'!$C$4),1,0)</f>
        <v>0</v>
      </c>
      <c r="C271" s="180">
        <f>if('TTP Tracker 26'!$B$2="MONTHLY TOTAL",$A271,$B271)</f>
        <v>0</v>
      </c>
      <c r="D271" s="181">
        <v>46144.0</v>
      </c>
      <c r="E271" s="180" t="s">
        <v>209</v>
      </c>
      <c r="F271" s="180">
        <f t="shared" si="7"/>
        <v>0</v>
      </c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</row>
    <row r="272">
      <c r="A272" s="179">
        <f>IF(and(D272&gt;='TTP Tracker 26'!$C$3,D272&lt;'TTP Tracker 26'!$C$4),1,0)</f>
        <v>0</v>
      </c>
      <c r="B272" s="180">
        <f>if(and(D272&gt;TODAY(),D272&lt;'TTP Tracker 26'!$C$4),1,0)</f>
        <v>0</v>
      </c>
      <c r="C272" s="180">
        <f>if('TTP Tracker 26'!$B$2="MONTHLY TOTAL",$A272,$B272)</f>
        <v>0</v>
      </c>
      <c r="D272" s="181">
        <v>46145.0</v>
      </c>
      <c r="E272" s="180" t="s">
        <v>210</v>
      </c>
      <c r="F272" s="180">
        <f t="shared" si="7"/>
        <v>0</v>
      </c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</row>
    <row r="273">
      <c r="A273" s="179">
        <f>IF(and(D273&gt;='TTP Tracker 26'!$C$3,D273&lt;'TTP Tracker 26'!$C$4),1,0)</f>
        <v>0</v>
      </c>
      <c r="B273" s="180">
        <f>if(and(D273&gt;TODAY(),D273&lt;'TTP Tracker 26'!$C$4),1,0)</f>
        <v>0</v>
      </c>
      <c r="C273" s="180">
        <f>if('TTP Tracker 26'!$B$2="MONTHLY TOTAL",$A273,$B273)</f>
        <v>0</v>
      </c>
      <c r="D273" s="181">
        <v>46146.0</v>
      </c>
      <c r="E273" s="180" t="s">
        <v>211</v>
      </c>
      <c r="F273" s="180">
        <f t="shared" si="7"/>
        <v>0</v>
      </c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</row>
    <row r="274">
      <c r="A274" s="179">
        <f>IF(and(D274&gt;='TTP Tracker 26'!$C$3,D274&lt;'TTP Tracker 26'!$C$4),1,0)</f>
        <v>0</v>
      </c>
      <c r="B274" s="180">
        <f>if(and(D274&gt;TODAY(),D274&lt;'TTP Tracker 26'!$C$4),1,0)</f>
        <v>0</v>
      </c>
      <c r="C274" s="180">
        <f>if('TTP Tracker 26'!$B$2="MONTHLY TOTAL",$A274,$B274)</f>
        <v>0</v>
      </c>
      <c r="D274" s="181">
        <v>46147.0</v>
      </c>
      <c r="E274" s="180" t="s">
        <v>212</v>
      </c>
      <c r="F274" s="180">
        <f t="shared" si="7"/>
        <v>0</v>
      </c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7"/>
      <c r="AD274" s="177"/>
      <c r="AE274" s="177"/>
      <c r="AF274" s="177"/>
      <c r="AG274" s="177"/>
      <c r="AH274" s="177"/>
      <c r="AI274" s="177"/>
    </row>
    <row r="275">
      <c r="A275" s="179">
        <f>IF(and(D275&gt;='TTP Tracker 26'!$C$3,D275&lt;'TTP Tracker 26'!$C$4),1,0)</f>
        <v>0</v>
      </c>
      <c r="B275" s="180">
        <f>if(and(D275&gt;TODAY(),D275&lt;'TTP Tracker 26'!$C$4),1,0)</f>
        <v>0</v>
      </c>
      <c r="C275" s="180">
        <f>if('TTP Tracker 26'!$B$2="MONTHLY TOTAL",$A275,$B275)</f>
        <v>0</v>
      </c>
      <c r="D275" s="181">
        <v>46148.0</v>
      </c>
      <c r="E275" s="180" t="s">
        <v>213</v>
      </c>
      <c r="F275" s="180">
        <f t="shared" si="7"/>
        <v>0</v>
      </c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</row>
    <row r="276">
      <c r="A276" s="179">
        <f>IF(and(D276&gt;='TTP Tracker 26'!$C$3,D276&lt;'TTP Tracker 26'!$C$4),1,0)</f>
        <v>0</v>
      </c>
      <c r="B276" s="180">
        <f>if(and(D276&gt;TODAY(),D276&lt;'TTP Tracker 26'!$C$4),1,0)</f>
        <v>0</v>
      </c>
      <c r="C276" s="180">
        <f>if('TTP Tracker 26'!$B$2="MONTHLY TOTAL",$A276,$B276)</f>
        <v>0</v>
      </c>
      <c r="D276" s="181">
        <v>46149.0</v>
      </c>
      <c r="E276" s="180" t="s">
        <v>207</v>
      </c>
      <c r="F276" s="180">
        <f t="shared" si="7"/>
        <v>0</v>
      </c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</row>
    <row r="277">
      <c r="A277" s="179">
        <f>IF(and(D277&gt;='TTP Tracker 26'!$C$3,D277&lt;'TTP Tracker 26'!$C$4),1,0)</f>
        <v>0</v>
      </c>
      <c r="B277" s="180">
        <f>if(and(D277&gt;TODAY(),D277&lt;'TTP Tracker 26'!$C$4),1,0)</f>
        <v>0</v>
      </c>
      <c r="C277" s="180">
        <f>if('TTP Tracker 26'!$B$2="MONTHLY TOTAL",$A277,$B277)</f>
        <v>0</v>
      </c>
      <c r="D277" s="181">
        <v>46150.0</v>
      </c>
      <c r="E277" s="180" t="s">
        <v>208</v>
      </c>
      <c r="F277" s="180">
        <f t="shared" si="7"/>
        <v>0</v>
      </c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7"/>
      <c r="AD277" s="177"/>
      <c r="AE277" s="177"/>
      <c r="AF277" s="177"/>
      <c r="AG277" s="177"/>
      <c r="AH277" s="177"/>
      <c r="AI277" s="177"/>
    </row>
    <row r="278">
      <c r="A278" s="179">
        <f>IF(and(D278&gt;='TTP Tracker 26'!$C$3,D278&lt;'TTP Tracker 26'!$C$4),1,0)</f>
        <v>0</v>
      </c>
      <c r="B278" s="180">
        <f>if(and(D278&gt;TODAY(),D278&lt;'TTP Tracker 26'!$C$4),1,0)</f>
        <v>0</v>
      </c>
      <c r="C278" s="180">
        <f>if('TTP Tracker 26'!$B$2="MONTHLY TOTAL",$A278,$B278)</f>
        <v>0</v>
      </c>
      <c r="D278" s="181">
        <v>46151.0</v>
      </c>
      <c r="E278" s="180" t="s">
        <v>209</v>
      </c>
      <c r="F278" s="180">
        <f t="shared" si="7"/>
        <v>0</v>
      </c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7"/>
      <c r="AD278" s="177"/>
      <c r="AE278" s="177"/>
      <c r="AF278" s="177"/>
      <c r="AG278" s="177"/>
      <c r="AH278" s="177"/>
      <c r="AI278" s="177"/>
    </row>
    <row r="279">
      <c r="A279" s="179">
        <f>IF(and(D279&gt;='TTP Tracker 26'!$C$3,D279&lt;'TTP Tracker 26'!$C$4),1,0)</f>
        <v>0</v>
      </c>
      <c r="B279" s="180">
        <f>if(and(D279&gt;TODAY(),D279&lt;'TTP Tracker 26'!$C$4),1,0)</f>
        <v>0</v>
      </c>
      <c r="C279" s="180">
        <f>if('TTP Tracker 26'!$B$2="MONTHLY TOTAL",$A279,$B279)</f>
        <v>0</v>
      </c>
      <c r="D279" s="181">
        <v>46152.0</v>
      </c>
      <c r="E279" s="180" t="s">
        <v>210</v>
      </c>
      <c r="F279" s="180">
        <f t="shared" si="7"/>
        <v>0</v>
      </c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  <c r="AC279" s="177"/>
      <c r="AD279" s="177"/>
      <c r="AE279" s="177"/>
      <c r="AF279" s="177"/>
      <c r="AG279" s="177"/>
      <c r="AH279" s="177"/>
      <c r="AI279" s="177"/>
    </row>
    <row r="280">
      <c r="A280" s="179">
        <f>IF(and(D280&gt;='TTP Tracker 26'!$C$3,D280&lt;'TTP Tracker 26'!$C$4),1,0)</f>
        <v>0</v>
      </c>
      <c r="B280" s="180">
        <f>if(and(D280&gt;TODAY(),D280&lt;'TTP Tracker 26'!$C$4),1,0)</f>
        <v>0</v>
      </c>
      <c r="C280" s="180">
        <f>if('TTP Tracker 26'!$B$2="MONTHLY TOTAL",$A280,$B280)</f>
        <v>0</v>
      </c>
      <c r="D280" s="181">
        <v>46153.0</v>
      </c>
      <c r="E280" s="180" t="s">
        <v>211</v>
      </c>
      <c r="F280" s="180">
        <f t="shared" si="7"/>
        <v>0</v>
      </c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77"/>
      <c r="AD280" s="177"/>
      <c r="AE280" s="177"/>
      <c r="AF280" s="177"/>
      <c r="AG280" s="177"/>
      <c r="AH280" s="177"/>
      <c r="AI280" s="177"/>
    </row>
    <row r="281">
      <c r="A281" s="179">
        <f>IF(and(D281&gt;='TTP Tracker 26'!$C$3,D281&lt;'TTP Tracker 26'!$C$4),1,0)</f>
        <v>0</v>
      </c>
      <c r="B281" s="180">
        <f>if(and(D281&gt;TODAY(),D281&lt;'TTP Tracker 26'!$C$4),1,0)</f>
        <v>0</v>
      </c>
      <c r="C281" s="180">
        <f>if('TTP Tracker 26'!$B$2="MONTHLY TOTAL",$A281,$B281)</f>
        <v>0</v>
      </c>
      <c r="D281" s="181">
        <v>46154.0</v>
      </c>
      <c r="E281" s="180" t="s">
        <v>212</v>
      </c>
      <c r="F281" s="180">
        <f t="shared" si="7"/>
        <v>0</v>
      </c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7"/>
      <c r="AD281" s="177"/>
      <c r="AE281" s="177"/>
      <c r="AF281" s="177"/>
      <c r="AG281" s="177"/>
      <c r="AH281" s="177"/>
      <c r="AI281" s="177"/>
    </row>
    <row r="282">
      <c r="A282" s="179">
        <f>IF(and(D282&gt;='TTP Tracker 26'!$C$3,D282&lt;'TTP Tracker 26'!$C$4),1,0)</f>
        <v>0</v>
      </c>
      <c r="B282" s="180">
        <f>if(and(D282&gt;TODAY(),D282&lt;'TTP Tracker 26'!$C$4),1,0)</f>
        <v>0</v>
      </c>
      <c r="C282" s="180">
        <f>if('TTP Tracker 26'!$B$2="MONTHLY TOTAL",$A282,$B282)</f>
        <v>0</v>
      </c>
      <c r="D282" s="181">
        <v>46155.0</v>
      </c>
      <c r="E282" s="180" t="s">
        <v>213</v>
      </c>
      <c r="F282" s="180">
        <f t="shared" si="7"/>
        <v>0</v>
      </c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  <c r="AC282" s="177"/>
      <c r="AD282" s="177"/>
      <c r="AE282" s="177"/>
      <c r="AF282" s="177"/>
      <c r="AG282" s="177"/>
      <c r="AH282" s="177"/>
      <c r="AI282" s="177"/>
    </row>
    <row r="283">
      <c r="A283" s="179">
        <f>IF(and(D283&gt;='TTP Tracker 26'!$C$3,D283&lt;'TTP Tracker 26'!$C$4),1,0)</f>
        <v>0</v>
      </c>
      <c r="B283" s="180">
        <f>if(and(D283&gt;TODAY(),D283&lt;'TTP Tracker 26'!$C$4),1,0)</f>
        <v>0</v>
      </c>
      <c r="C283" s="180">
        <f>if('TTP Tracker 26'!$B$2="MONTHLY TOTAL",$A283,$B283)</f>
        <v>0</v>
      </c>
      <c r="D283" s="181">
        <v>46156.0</v>
      </c>
      <c r="E283" s="180" t="s">
        <v>207</v>
      </c>
      <c r="F283" s="180">
        <f t="shared" si="7"/>
        <v>0</v>
      </c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  <c r="AC283" s="177"/>
      <c r="AD283" s="177"/>
      <c r="AE283" s="177"/>
      <c r="AF283" s="177"/>
      <c r="AG283" s="177"/>
      <c r="AH283" s="177"/>
      <c r="AI283" s="177"/>
    </row>
    <row r="284">
      <c r="A284" s="179">
        <f>IF(and(D284&gt;='TTP Tracker 26'!$C$3,D284&lt;'TTP Tracker 26'!$C$4),1,0)</f>
        <v>0</v>
      </c>
      <c r="B284" s="180">
        <f>if(and(D284&gt;TODAY(),D284&lt;'TTP Tracker 26'!$C$4),1,0)</f>
        <v>0</v>
      </c>
      <c r="C284" s="180">
        <f>if('TTP Tracker 26'!$B$2="MONTHLY TOTAL",$A284,$B284)</f>
        <v>0</v>
      </c>
      <c r="D284" s="181">
        <v>46157.0</v>
      </c>
      <c r="E284" s="180" t="s">
        <v>208</v>
      </c>
      <c r="F284" s="180">
        <f t="shared" si="7"/>
        <v>0</v>
      </c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  <c r="AE284" s="177"/>
      <c r="AF284" s="177"/>
      <c r="AG284" s="177"/>
      <c r="AH284" s="177"/>
      <c r="AI284" s="177"/>
    </row>
    <row r="285">
      <c r="A285" s="179">
        <f>IF(and(D285&gt;='TTP Tracker 26'!$C$3,D285&lt;'TTP Tracker 26'!$C$4),1,0)</f>
        <v>0</v>
      </c>
      <c r="B285" s="180">
        <f>if(and(D285&gt;TODAY(),D285&lt;'TTP Tracker 26'!$C$4),1,0)</f>
        <v>0</v>
      </c>
      <c r="C285" s="180">
        <f>if('TTP Tracker 26'!$B$2="MONTHLY TOTAL",$A285,$B285)</f>
        <v>0</v>
      </c>
      <c r="D285" s="181">
        <v>46158.0</v>
      </c>
      <c r="E285" s="180" t="s">
        <v>209</v>
      </c>
      <c r="F285" s="180">
        <f t="shared" si="7"/>
        <v>0</v>
      </c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  <c r="AC285" s="177"/>
      <c r="AD285" s="177"/>
      <c r="AE285" s="177"/>
      <c r="AF285" s="177"/>
      <c r="AG285" s="177"/>
      <c r="AH285" s="177"/>
      <c r="AI285" s="177"/>
    </row>
    <row r="286">
      <c r="A286" s="179">
        <f>IF(and(D286&gt;='TTP Tracker 26'!$C$3,D286&lt;'TTP Tracker 26'!$C$4),1,0)</f>
        <v>0</v>
      </c>
      <c r="B286" s="180">
        <f>if(and(D286&gt;TODAY(),D286&lt;'TTP Tracker 26'!$C$4),1,0)</f>
        <v>0</v>
      </c>
      <c r="C286" s="180">
        <f>if('TTP Tracker 26'!$B$2="MONTHLY TOTAL",$A286,$B286)</f>
        <v>0</v>
      </c>
      <c r="D286" s="181">
        <v>46159.0</v>
      </c>
      <c r="E286" s="180" t="s">
        <v>210</v>
      </c>
      <c r="F286" s="180">
        <f t="shared" si="7"/>
        <v>0</v>
      </c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  <c r="AC286" s="177"/>
      <c r="AD286" s="177"/>
      <c r="AE286" s="177"/>
      <c r="AF286" s="177"/>
      <c r="AG286" s="177"/>
      <c r="AH286" s="177"/>
      <c r="AI286" s="177"/>
    </row>
    <row r="287">
      <c r="A287" s="179">
        <f>IF(and(D287&gt;='TTP Tracker 26'!$C$3,D287&lt;'TTP Tracker 26'!$C$4),1,0)</f>
        <v>0</v>
      </c>
      <c r="B287" s="180">
        <f>if(and(D287&gt;TODAY(),D287&lt;'TTP Tracker 26'!$C$4),1,0)</f>
        <v>0</v>
      </c>
      <c r="C287" s="180">
        <f>if('TTP Tracker 26'!$B$2="MONTHLY TOTAL",$A287,$B287)</f>
        <v>0</v>
      </c>
      <c r="D287" s="181">
        <v>46160.0</v>
      </c>
      <c r="E287" s="180" t="s">
        <v>211</v>
      </c>
      <c r="F287" s="180">
        <f t="shared" si="7"/>
        <v>0</v>
      </c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  <c r="AC287" s="177"/>
      <c r="AD287" s="177"/>
      <c r="AE287" s="177"/>
      <c r="AF287" s="177"/>
      <c r="AG287" s="177"/>
      <c r="AH287" s="177"/>
      <c r="AI287" s="177"/>
    </row>
    <row r="288">
      <c r="A288" s="179">
        <f>IF(and(D288&gt;='TTP Tracker 26'!$C$3,D288&lt;'TTP Tracker 26'!$C$4),1,0)</f>
        <v>0</v>
      </c>
      <c r="B288" s="180">
        <f>if(and(D288&gt;TODAY(),D288&lt;'TTP Tracker 26'!$C$4),1,0)</f>
        <v>0</v>
      </c>
      <c r="C288" s="180">
        <f>if('TTP Tracker 26'!$B$2="MONTHLY TOTAL",$A288,$B288)</f>
        <v>0</v>
      </c>
      <c r="D288" s="181">
        <v>46161.0</v>
      </c>
      <c r="E288" s="180" t="s">
        <v>212</v>
      </c>
      <c r="F288" s="180">
        <f t="shared" si="7"/>
        <v>0</v>
      </c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  <c r="AC288" s="177"/>
      <c r="AD288" s="177"/>
      <c r="AE288" s="177"/>
      <c r="AF288" s="177"/>
      <c r="AG288" s="177"/>
      <c r="AH288" s="177"/>
      <c r="AI288" s="177"/>
    </row>
    <row r="289">
      <c r="A289" s="179">
        <f>IF(and(D289&gt;='TTP Tracker 26'!$C$3,D289&lt;'TTP Tracker 26'!$C$4),1,0)</f>
        <v>0</v>
      </c>
      <c r="B289" s="180">
        <f>if(and(D289&gt;TODAY(),D289&lt;'TTP Tracker 26'!$C$4),1,0)</f>
        <v>0</v>
      </c>
      <c r="C289" s="180">
        <f>if('TTP Tracker 26'!$B$2="MONTHLY TOTAL",$A289,$B289)</f>
        <v>0</v>
      </c>
      <c r="D289" s="181">
        <v>46162.0</v>
      </c>
      <c r="E289" s="180" t="s">
        <v>213</v>
      </c>
      <c r="F289" s="180">
        <f t="shared" si="7"/>
        <v>0</v>
      </c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  <c r="AC289" s="177"/>
      <c r="AD289" s="177"/>
      <c r="AE289" s="177"/>
      <c r="AF289" s="177"/>
      <c r="AG289" s="177"/>
      <c r="AH289" s="177"/>
      <c r="AI289" s="177"/>
    </row>
    <row r="290">
      <c r="A290" s="179">
        <f>IF(and(D290&gt;='TTP Tracker 26'!$C$3,D290&lt;'TTP Tracker 26'!$C$4),1,0)</f>
        <v>0</v>
      </c>
      <c r="B290" s="180">
        <f>if(and(D290&gt;TODAY(),D290&lt;'TTP Tracker 26'!$C$4),1,0)</f>
        <v>0</v>
      </c>
      <c r="C290" s="180">
        <f>if('TTP Tracker 26'!$B$2="MONTHLY TOTAL",$A290,$B290)</f>
        <v>0</v>
      </c>
      <c r="D290" s="181">
        <v>46163.0</v>
      </c>
      <c r="E290" s="180" t="s">
        <v>207</v>
      </c>
      <c r="F290" s="180">
        <f t="shared" si="7"/>
        <v>0</v>
      </c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  <c r="AE290" s="177"/>
      <c r="AF290" s="177"/>
      <c r="AG290" s="177"/>
      <c r="AH290" s="177"/>
      <c r="AI290" s="177"/>
    </row>
    <row r="291">
      <c r="A291" s="179">
        <f>IF(and(D291&gt;='TTP Tracker 26'!$C$3,D291&lt;'TTP Tracker 26'!$C$4),1,0)</f>
        <v>0</v>
      </c>
      <c r="B291" s="180">
        <f>if(and(D291&gt;TODAY(),D291&lt;'TTP Tracker 26'!$C$4),1,0)</f>
        <v>0</v>
      </c>
      <c r="C291" s="180">
        <f>if('TTP Tracker 26'!$B$2="MONTHLY TOTAL",$A291,$B291)</f>
        <v>0</v>
      </c>
      <c r="D291" s="181">
        <v>46164.0</v>
      </c>
      <c r="E291" s="180" t="s">
        <v>208</v>
      </c>
      <c r="F291" s="180">
        <f t="shared" si="7"/>
        <v>0</v>
      </c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  <c r="AC291" s="177"/>
      <c r="AD291" s="177"/>
      <c r="AE291" s="177"/>
      <c r="AF291" s="177"/>
      <c r="AG291" s="177"/>
      <c r="AH291" s="177"/>
      <c r="AI291" s="177"/>
    </row>
    <row r="292">
      <c r="A292" s="179">
        <f>IF(and(D292&gt;='TTP Tracker 26'!$C$3,D292&lt;'TTP Tracker 26'!$C$4),1,0)</f>
        <v>0</v>
      </c>
      <c r="B292" s="180">
        <f>if(and(D292&gt;TODAY(),D292&lt;'TTP Tracker 26'!$C$4),1,0)</f>
        <v>0</v>
      </c>
      <c r="C292" s="180">
        <f>if('TTP Tracker 26'!$B$2="MONTHLY TOTAL",$A292,$B292)</f>
        <v>0</v>
      </c>
      <c r="D292" s="181">
        <v>46165.0</v>
      </c>
      <c r="E292" s="180" t="s">
        <v>209</v>
      </c>
      <c r="F292" s="180">
        <f t="shared" si="7"/>
        <v>0</v>
      </c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  <c r="AE292" s="177"/>
      <c r="AF292" s="177"/>
      <c r="AG292" s="177"/>
      <c r="AH292" s="177"/>
      <c r="AI292" s="177"/>
    </row>
    <row r="293">
      <c r="A293" s="179">
        <f>IF(and(D293&gt;='TTP Tracker 26'!$C$3,D293&lt;'TTP Tracker 26'!$C$4),1,0)</f>
        <v>0</v>
      </c>
      <c r="B293" s="180">
        <f>if(and(D293&gt;TODAY(),D293&lt;'TTP Tracker 26'!$C$4),1,0)</f>
        <v>0</v>
      </c>
      <c r="C293" s="180">
        <f>if('TTP Tracker 26'!$B$2="MONTHLY TOTAL",$A293,$B293)</f>
        <v>0</v>
      </c>
      <c r="D293" s="181">
        <v>46166.0</v>
      </c>
      <c r="E293" s="180" t="s">
        <v>210</v>
      </c>
      <c r="F293" s="180">
        <f t="shared" si="7"/>
        <v>0</v>
      </c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7"/>
      <c r="AG293" s="177"/>
      <c r="AH293" s="177"/>
      <c r="AI293" s="177"/>
    </row>
    <row r="294">
      <c r="A294" s="179">
        <f>IF(and(D294&gt;='TTP Tracker 26'!$C$3,D294&lt;'TTP Tracker 26'!$C$4),1,0)</f>
        <v>0</v>
      </c>
      <c r="B294" s="180">
        <f>if(and(D294&gt;TODAY(),D294&lt;'TTP Tracker 26'!$C$4),1,0)</f>
        <v>0</v>
      </c>
      <c r="C294" s="180">
        <f>if('TTP Tracker 26'!$B$2="MONTHLY TOTAL",$A294,$B294)</f>
        <v>0</v>
      </c>
      <c r="D294" s="181">
        <v>46167.0</v>
      </c>
      <c r="E294" s="180" t="s">
        <v>211</v>
      </c>
      <c r="F294" s="180">
        <f t="shared" si="7"/>
        <v>0</v>
      </c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  <c r="AC294" s="177"/>
      <c r="AD294" s="177"/>
      <c r="AE294" s="177"/>
      <c r="AF294" s="177"/>
      <c r="AG294" s="177"/>
      <c r="AH294" s="177"/>
      <c r="AI294" s="177"/>
    </row>
    <row r="295">
      <c r="A295" s="179">
        <f>IF(and(D295&gt;='TTP Tracker 26'!$C$3,D295&lt;'TTP Tracker 26'!$C$4),1,0)</f>
        <v>0</v>
      </c>
      <c r="B295" s="180">
        <f>if(and(D295&gt;TODAY(),D295&lt;'TTP Tracker 26'!$C$4),1,0)</f>
        <v>0</v>
      </c>
      <c r="C295" s="180">
        <f>if('TTP Tracker 26'!$B$2="MONTHLY TOTAL",$A295,$B295)</f>
        <v>0</v>
      </c>
      <c r="D295" s="181">
        <v>46168.0</v>
      </c>
      <c r="E295" s="180" t="s">
        <v>212</v>
      </c>
      <c r="F295" s="180">
        <f t="shared" si="7"/>
        <v>0</v>
      </c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  <c r="AC295" s="177"/>
      <c r="AD295" s="177"/>
      <c r="AE295" s="177"/>
      <c r="AF295" s="177"/>
      <c r="AG295" s="177"/>
      <c r="AH295" s="177"/>
      <c r="AI295" s="177"/>
    </row>
    <row r="296">
      <c r="A296" s="179">
        <f>IF(and(D296&gt;='TTP Tracker 26'!$C$3,D296&lt;'TTP Tracker 26'!$C$4),1,0)</f>
        <v>0</v>
      </c>
      <c r="B296" s="180">
        <f>if(and(D296&gt;TODAY(),D296&lt;'TTP Tracker 26'!$C$4),1,0)</f>
        <v>0</v>
      </c>
      <c r="C296" s="180">
        <f>if('TTP Tracker 26'!$B$2="MONTHLY TOTAL",$A296,$B296)</f>
        <v>0</v>
      </c>
      <c r="D296" s="181">
        <v>46169.0</v>
      </c>
      <c r="E296" s="180" t="s">
        <v>213</v>
      </c>
      <c r="F296" s="180">
        <f t="shared" si="7"/>
        <v>0</v>
      </c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  <c r="AE296" s="177"/>
      <c r="AF296" s="177"/>
      <c r="AG296" s="177"/>
      <c r="AH296" s="177"/>
      <c r="AI296" s="177"/>
    </row>
    <row r="297">
      <c r="A297" s="179">
        <f>IF(and(D297&gt;='TTP Tracker 26'!$C$3,D297&lt;'TTP Tracker 26'!$C$4),1,0)</f>
        <v>0</v>
      </c>
      <c r="B297" s="180">
        <f>if(and(D297&gt;TODAY(),D297&lt;'TTP Tracker 26'!$C$4),1,0)</f>
        <v>0</v>
      </c>
      <c r="C297" s="180">
        <f>if('TTP Tracker 26'!$B$2="MONTHLY TOTAL",$A297,$B297)</f>
        <v>0</v>
      </c>
      <c r="D297" s="181">
        <v>46170.0</v>
      </c>
      <c r="E297" s="180" t="s">
        <v>207</v>
      </c>
      <c r="F297" s="180">
        <f t="shared" si="7"/>
        <v>0</v>
      </c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  <c r="AC297" s="177"/>
      <c r="AD297" s="177"/>
      <c r="AE297" s="177"/>
      <c r="AF297" s="177"/>
      <c r="AG297" s="177"/>
      <c r="AH297" s="177"/>
      <c r="AI297" s="177"/>
    </row>
    <row r="298">
      <c r="A298" s="179">
        <f>IF(and(D298&gt;='TTP Tracker 26'!$C$3,D298&lt;'TTP Tracker 26'!$C$4),1,0)</f>
        <v>0</v>
      </c>
      <c r="B298" s="180">
        <f>if(and(D298&gt;TODAY(),D298&lt;'TTP Tracker 26'!$C$4),1,0)</f>
        <v>0</v>
      </c>
      <c r="C298" s="180">
        <f>if('TTP Tracker 26'!$B$2="MONTHLY TOTAL",$A298,$B298)</f>
        <v>0</v>
      </c>
      <c r="D298" s="181">
        <v>46171.0</v>
      </c>
      <c r="E298" s="180" t="s">
        <v>208</v>
      </c>
      <c r="F298" s="180">
        <f t="shared" si="7"/>
        <v>0</v>
      </c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  <c r="AC298" s="177"/>
      <c r="AD298" s="177"/>
      <c r="AE298" s="177"/>
      <c r="AF298" s="177"/>
      <c r="AG298" s="177"/>
      <c r="AH298" s="177"/>
      <c r="AI298" s="177"/>
    </row>
    <row r="299">
      <c r="A299" s="179">
        <f>IF(and(D299&gt;='TTP Tracker 26'!$C$3,D299&lt;'TTP Tracker 26'!$C$4),1,0)</f>
        <v>0</v>
      </c>
      <c r="B299" s="180">
        <f>if(and(D299&gt;TODAY(),D299&lt;'TTP Tracker 26'!$C$4),1,0)</f>
        <v>0</v>
      </c>
      <c r="C299" s="180">
        <f>if('TTP Tracker 26'!$B$2="MONTHLY TOTAL",$A299,$B299)</f>
        <v>0</v>
      </c>
      <c r="D299" s="181">
        <v>46172.0</v>
      </c>
      <c r="E299" s="180" t="s">
        <v>209</v>
      </c>
      <c r="F299" s="180">
        <f t="shared" si="7"/>
        <v>0</v>
      </c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  <c r="AC299" s="177"/>
      <c r="AD299" s="177"/>
      <c r="AE299" s="177"/>
      <c r="AF299" s="177"/>
      <c r="AG299" s="177"/>
      <c r="AH299" s="177"/>
      <c r="AI299" s="177"/>
    </row>
    <row r="300">
      <c r="A300" s="179">
        <f>IF(and(D300&gt;='TTP Tracker 26'!$C$3,D300&lt;'TTP Tracker 26'!$C$4),1,0)</f>
        <v>0</v>
      </c>
      <c r="B300" s="180">
        <f>if(and(D300&gt;TODAY(),D300&lt;'TTP Tracker 26'!$C$4),1,0)</f>
        <v>0</v>
      </c>
      <c r="C300" s="180">
        <f>if('TTP Tracker 26'!$B$2="MONTHLY TOTAL",$A300,$B300)</f>
        <v>0</v>
      </c>
      <c r="D300" s="181">
        <v>46173.0</v>
      </c>
      <c r="E300" s="180" t="s">
        <v>210</v>
      </c>
      <c r="F300" s="180">
        <f t="shared" si="7"/>
        <v>0</v>
      </c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  <c r="AC300" s="177"/>
      <c r="AD300" s="177"/>
      <c r="AE300" s="177"/>
      <c r="AF300" s="177"/>
      <c r="AG300" s="177"/>
      <c r="AH300" s="177"/>
      <c r="AI300" s="177"/>
    </row>
    <row r="301">
      <c r="A301" s="179">
        <f>IF(and(D301&gt;='TTP Tracker 26'!$C$3,D301&lt;'TTP Tracker 26'!$C$4),1,0)</f>
        <v>0</v>
      </c>
      <c r="B301" s="180">
        <f>if(and(D301&gt;TODAY(),D301&lt;'TTP Tracker 26'!$C$4),1,0)</f>
        <v>0</v>
      </c>
      <c r="C301" s="180">
        <f>if('TTP Tracker 26'!$B$2="MONTHLY TOTAL",$A301,$B301)</f>
        <v>0</v>
      </c>
      <c r="D301" s="181">
        <v>46174.0</v>
      </c>
      <c r="E301" s="180" t="s">
        <v>211</v>
      </c>
      <c r="F301" s="180">
        <f t="shared" si="7"/>
        <v>0</v>
      </c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77"/>
      <c r="AD301" s="177"/>
      <c r="AE301" s="177"/>
      <c r="AF301" s="177"/>
      <c r="AG301" s="177"/>
      <c r="AH301" s="177"/>
      <c r="AI301" s="177"/>
    </row>
    <row r="302">
      <c r="A302" s="179">
        <f>IF(and(D302&gt;='TTP Tracker 26'!$C$3,D302&lt;'TTP Tracker 26'!$C$4),1,0)</f>
        <v>0</v>
      </c>
      <c r="B302" s="180">
        <f>if(and(D302&gt;TODAY(),D302&lt;'TTP Tracker 26'!$C$4),1,0)</f>
        <v>0</v>
      </c>
      <c r="C302" s="180">
        <f>if('TTP Tracker 26'!$B$2="MONTHLY TOTAL",$A302,$B302)</f>
        <v>0</v>
      </c>
      <c r="D302" s="181">
        <v>46175.0</v>
      </c>
      <c r="E302" s="180" t="s">
        <v>212</v>
      </c>
      <c r="F302" s="180">
        <f t="shared" si="7"/>
        <v>0</v>
      </c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77"/>
      <c r="AD302" s="177"/>
      <c r="AE302" s="177"/>
      <c r="AF302" s="177"/>
      <c r="AG302" s="177"/>
      <c r="AH302" s="177"/>
      <c r="AI302" s="177"/>
    </row>
    <row r="303">
      <c r="A303" s="179">
        <f>IF(and(D303&gt;='TTP Tracker 26'!$C$3,D303&lt;'TTP Tracker 26'!$C$4),1,0)</f>
        <v>0</v>
      </c>
      <c r="B303" s="180">
        <f>if(and(D303&gt;TODAY(),D303&lt;'TTP Tracker 26'!$C$4),1,0)</f>
        <v>0</v>
      </c>
      <c r="C303" s="180">
        <f>if('TTP Tracker 26'!$B$2="MONTHLY TOTAL",$A303,$B303)</f>
        <v>0</v>
      </c>
      <c r="D303" s="181">
        <v>46176.0</v>
      </c>
      <c r="E303" s="180" t="s">
        <v>213</v>
      </c>
      <c r="F303" s="180">
        <f t="shared" si="7"/>
        <v>0</v>
      </c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  <c r="AC303" s="177"/>
      <c r="AD303" s="177"/>
      <c r="AE303" s="177"/>
      <c r="AF303" s="177"/>
      <c r="AG303" s="177"/>
      <c r="AH303" s="177"/>
      <c r="AI303" s="177"/>
    </row>
    <row r="304">
      <c r="A304" s="179">
        <f>IF(and(D304&gt;='TTP Tracker 26'!$C$3,D304&lt;'TTP Tracker 26'!$C$4),1,0)</f>
        <v>0</v>
      </c>
      <c r="B304" s="180">
        <f>if(and(D304&gt;TODAY(),D304&lt;'TTP Tracker 26'!$C$4),1,0)</f>
        <v>0</v>
      </c>
      <c r="C304" s="180">
        <f>if('TTP Tracker 26'!$B$2="MONTHLY TOTAL",$A304,$B304)</f>
        <v>0</v>
      </c>
      <c r="D304" s="181">
        <v>46177.0</v>
      </c>
      <c r="E304" s="180" t="s">
        <v>207</v>
      </c>
      <c r="F304" s="180">
        <f t="shared" si="7"/>
        <v>0</v>
      </c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  <c r="AC304" s="177"/>
      <c r="AD304" s="177"/>
      <c r="AE304" s="177"/>
      <c r="AF304" s="177"/>
      <c r="AG304" s="177"/>
      <c r="AH304" s="177"/>
      <c r="AI304" s="177"/>
    </row>
    <row r="305">
      <c r="A305" s="179">
        <f>IF(and(D305&gt;='TTP Tracker 26'!$C$3,D305&lt;'TTP Tracker 26'!$C$4),1,0)</f>
        <v>0</v>
      </c>
      <c r="B305" s="180">
        <f>if(and(D305&gt;TODAY(),D305&lt;'TTP Tracker 26'!$C$4),1,0)</f>
        <v>0</v>
      </c>
      <c r="C305" s="180">
        <f>if('TTP Tracker 26'!$B$2="MONTHLY TOTAL",$A305,$B305)</f>
        <v>0</v>
      </c>
      <c r="D305" s="181">
        <v>46178.0</v>
      </c>
      <c r="E305" s="180" t="s">
        <v>208</v>
      </c>
      <c r="F305" s="180">
        <f t="shared" si="7"/>
        <v>0</v>
      </c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  <c r="AC305" s="177"/>
      <c r="AD305" s="177"/>
      <c r="AE305" s="177"/>
      <c r="AF305" s="177"/>
      <c r="AG305" s="177"/>
      <c r="AH305" s="177"/>
      <c r="AI305" s="177"/>
    </row>
    <row r="306">
      <c r="A306" s="179">
        <f>IF(and(D306&gt;='TTP Tracker 26'!$C$3,D306&lt;'TTP Tracker 26'!$C$4),1,0)</f>
        <v>0</v>
      </c>
      <c r="B306" s="180">
        <f>if(and(D306&gt;TODAY(),D306&lt;'TTP Tracker 26'!$C$4),1,0)</f>
        <v>0</v>
      </c>
      <c r="C306" s="180">
        <f>if('TTP Tracker 26'!$B$2="MONTHLY TOTAL",$A306,$B306)</f>
        <v>0</v>
      </c>
      <c r="D306" s="181">
        <v>46179.0</v>
      </c>
      <c r="E306" s="180" t="s">
        <v>209</v>
      </c>
      <c r="F306" s="180">
        <f t="shared" si="7"/>
        <v>0</v>
      </c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  <c r="AC306" s="177"/>
      <c r="AD306" s="177"/>
      <c r="AE306" s="177"/>
      <c r="AF306" s="177"/>
      <c r="AG306" s="177"/>
      <c r="AH306" s="177"/>
      <c r="AI306" s="177"/>
    </row>
    <row r="307">
      <c r="A307" s="179">
        <f>IF(and(D307&gt;='TTP Tracker 26'!$C$3,D307&lt;'TTP Tracker 26'!$C$4),1,0)</f>
        <v>0</v>
      </c>
      <c r="B307" s="180">
        <f>if(and(D307&gt;TODAY(),D307&lt;'TTP Tracker 26'!$C$4),1,0)</f>
        <v>0</v>
      </c>
      <c r="C307" s="180">
        <f>if('TTP Tracker 26'!$B$2="MONTHLY TOTAL",$A307,$B307)</f>
        <v>0</v>
      </c>
      <c r="D307" s="181">
        <v>46180.0</v>
      </c>
      <c r="E307" s="180" t="s">
        <v>210</v>
      </c>
      <c r="F307" s="180">
        <f t="shared" si="7"/>
        <v>0</v>
      </c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</row>
    <row r="308">
      <c r="A308" s="179">
        <f>IF(and(D308&gt;='TTP Tracker 26'!$C$3,D308&lt;'TTP Tracker 26'!$C$4),1,0)</f>
        <v>0</v>
      </c>
      <c r="B308" s="180">
        <f>if(and(D308&gt;TODAY(),D308&lt;'TTP Tracker 26'!$C$4),1,0)</f>
        <v>0</v>
      </c>
      <c r="C308" s="180">
        <f>if('TTP Tracker 26'!$B$2="MONTHLY TOTAL",$A308,$B308)</f>
        <v>0</v>
      </c>
      <c r="D308" s="181">
        <v>46181.0</v>
      </c>
      <c r="E308" s="180" t="s">
        <v>211</v>
      </c>
      <c r="F308" s="180">
        <f t="shared" si="7"/>
        <v>0</v>
      </c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77"/>
      <c r="AD308" s="177"/>
      <c r="AE308" s="177"/>
      <c r="AF308" s="177"/>
      <c r="AG308" s="177"/>
      <c r="AH308" s="177"/>
      <c r="AI308" s="177"/>
    </row>
    <row r="309">
      <c r="A309" s="179">
        <f>IF(and(D309&gt;='TTP Tracker 26'!$C$3,D309&lt;'TTP Tracker 26'!$C$4),1,0)</f>
        <v>0</v>
      </c>
      <c r="B309" s="180">
        <f>if(and(D309&gt;TODAY(),D309&lt;'TTP Tracker 26'!$C$4),1,0)</f>
        <v>0</v>
      </c>
      <c r="C309" s="180">
        <f>if('TTP Tracker 26'!$B$2="MONTHLY TOTAL",$A309,$B309)</f>
        <v>0</v>
      </c>
      <c r="D309" s="181">
        <v>46182.0</v>
      </c>
      <c r="E309" s="180" t="s">
        <v>212</v>
      </c>
      <c r="F309" s="180">
        <f t="shared" si="7"/>
        <v>0</v>
      </c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177"/>
      <c r="AG309" s="177"/>
      <c r="AH309" s="177"/>
      <c r="AI309" s="177"/>
    </row>
    <row r="310">
      <c r="A310" s="179">
        <f>IF(and(D310&gt;='TTP Tracker 26'!$C$3,D310&lt;'TTP Tracker 26'!$C$4),1,0)</f>
        <v>0</v>
      </c>
      <c r="B310" s="180">
        <f>if(and(D310&gt;TODAY(),D310&lt;'TTP Tracker 26'!$C$4),1,0)</f>
        <v>0</v>
      </c>
      <c r="C310" s="180">
        <f>if('TTP Tracker 26'!$B$2="MONTHLY TOTAL",$A310,$B310)</f>
        <v>0</v>
      </c>
      <c r="D310" s="181">
        <v>46183.0</v>
      </c>
      <c r="E310" s="180" t="s">
        <v>213</v>
      </c>
      <c r="F310" s="180">
        <f t="shared" si="7"/>
        <v>0</v>
      </c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  <c r="AC310" s="177"/>
      <c r="AD310" s="177"/>
      <c r="AE310" s="177"/>
      <c r="AF310" s="177"/>
      <c r="AG310" s="177"/>
      <c r="AH310" s="177"/>
      <c r="AI310" s="177"/>
    </row>
    <row r="311">
      <c r="A311" s="179">
        <f>IF(and(D311&gt;='TTP Tracker 26'!$C$3,D311&lt;'TTP Tracker 26'!$C$4),1,0)</f>
        <v>0</v>
      </c>
      <c r="B311" s="180">
        <f>if(and(D311&gt;TODAY(),D311&lt;'TTP Tracker 26'!$C$4),1,0)</f>
        <v>0</v>
      </c>
      <c r="C311" s="180">
        <f>if('TTP Tracker 26'!$B$2="MONTHLY TOTAL",$A311,$B311)</f>
        <v>0</v>
      </c>
      <c r="D311" s="181">
        <v>46184.0</v>
      </c>
      <c r="E311" s="180" t="s">
        <v>207</v>
      </c>
      <c r="F311" s="180">
        <f t="shared" si="7"/>
        <v>0</v>
      </c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  <c r="AC311" s="177"/>
      <c r="AD311" s="177"/>
      <c r="AE311" s="177"/>
      <c r="AF311" s="177"/>
      <c r="AG311" s="177"/>
      <c r="AH311" s="177"/>
      <c r="AI311" s="177"/>
    </row>
    <row r="312">
      <c r="A312" s="179">
        <f>IF(and(D312&gt;='TTP Tracker 26'!$C$3,D312&lt;'TTP Tracker 26'!$C$4),1,0)</f>
        <v>0</v>
      </c>
      <c r="B312" s="180">
        <f>if(and(D312&gt;TODAY(),D312&lt;'TTP Tracker 26'!$C$4),1,0)</f>
        <v>0</v>
      </c>
      <c r="C312" s="180">
        <f>if('TTP Tracker 26'!$B$2="MONTHLY TOTAL",$A312,$B312)</f>
        <v>0</v>
      </c>
      <c r="D312" s="181">
        <v>46185.0</v>
      </c>
      <c r="E312" s="180" t="s">
        <v>208</v>
      </c>
      <c r="F312" s="180">
        <f t="shared" si="7"/>
        <v>0</v>
      </c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  <c r="AC312" s="177"/>
      <c r="AD312" s="177"/>
      <c r="AE312" s="177"/>
      <c r="AF312" s="177"/>
      <c r="AG312" s="177"/>
      <c r="AH312" s="177"/>
      <c r="AI312" s="177"/>
    </row>
    <row r="313">
      <c r="A313" s="179">
        <f>IF(and(D313&gt;='TTP Tracker 26'!$C$3,D313&lt;'TTP Tracker 26'!$C$4),1,0)</f>
        <v>0</v>
      </c>
      <c r="B313" s="180">
        <f>if(and(D313&gt;TODAY(),D313&lt;'TTP Tracker 26'!$C$4),1,0)</f>
        <v>0</v>
      </c>
      <c r="C313" s="180">
        <f>if('TTP Tracker 26'!$B$2="MONTHLY TOTAL",$A313,$B313)</f>
        <v>0</v>
      </c>
      <c r="D313" s="181">
        <v>46186.0</v>
      </c>
      <c r="E313" s="180" t="s">
        <v>209</v>
      </c>
      <c r="F313" s="180">
        <f t="shared" si="7"/>
        <v>0</v>
      </c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  <c r="AC313" s="177"/>
      <c r="AD313" s="177"/>
      <c r="AE313" s="177"/>
      <c r="AF313" s="177"/>
      <c r="AG313" s="177"/>
      <c r="AH313" s="177"/>
      <c r="AI313" s="177"/>
    </row>
    <row r="314">
      <c r="A314" s="179">
        <f>IF(and(D314&gt;='TTP Tracker 26'!$C$3,D314&lt;'TTP Tracker 26'!$C$4),1,0)</f>
        <v>0</v>
      </c>
      <c r="B314" s="180">
        <f>if(and(D314&gt;TODAY(),D314&lt;'TTP Tracker 26'!$C$4),1,0)</f>
        <v>0</v>
      </c>
      <c r="C314" s="180">
        <f>if('TTP Tracker 26'!$B$2="MONTHLY TOTAL",$A314,$B314)</f>
        <v>0</v>
      </c>
      <c r="D314" s="181">
        <v>46187.0</v>
      </c>
      <c r="E314" s="180" t="s">
        <v>210</v>
      </c>
      <c r="F314" s="180">
        <f t="shared" si="7"/>
        <v>0</v>
      </c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  <c r="AE314" s="177"/>
      <c r="AF314" s="177"/>
      <c r="AG314" s="177"/>
      <c r="AH314" s="177"/>
      <c r="AI314" s="177"/>
    </row>
    <row r="315">
      <c r="A315" s="179">
        <f>IF(and(D315&gt;='TTP Tracker 26'!$C$3,D315&lt;'TTP Tracker 26'!$C$4),1,0)</f>
        <v>0</v>
      </c>
      <c r="B315" s="180">
        <f>if(and(D315&gt;TODAY(),D315&lt;'TTP Tracker 26'!$C$4),1,0)</f>
        <v>0</v>
      </c>
      <c r="C315" s="180">
        <f>if('TTP Tracker 26'!$B$2="MONTHLY TOTAL",$A315,$B315)</f>
        <v>0</v>
      </c>
      <c r="D315" s="181">
        <v>46188.0</v>
      </c>
      <c r="E315" s="180" t="s">
        <v>211</v>
      </c>
      <c r="F315" s="180">
        <f t="shared" si="7"/>
        <v>0</v>
      </c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  <c r="AC315" s="177"/>
      <c r="AD315" s="177"/>
      <c r="AE315" s="177"/>
      <c r="AF315" s="177"/>
      <c r="AG315" s="177"/>
      <c r="AH315" s="177"/>
      <c r="AI315" s="177"/>
    </row>
    <row r="316">
      <c r="A316" s="179">
        <f>IF(and(D316&gt;='TTP Tracker 26'!$C$3,D316&lt;'TTP Tracker 26'!$C$4),1,0)</f>
        <v>0</v>
      </c>
      <c r="B316" s="180">
        <f>if(and(D316&gt;TODAY(),D316&lt;'TTP Tracker 26'!$C$4),1,0)</f>
        <v>0</v>
      </c>
      <c r="C316" s="180">
        <f>if('TTP Tracker 26'!$B$2="MONTHLY TOTAL",$A316,$B316)</f>
        <v>0</v>
      </c>
      <c r="D316" s="181">
        <v>46189.0</v>
      </c>
      <c r="E316" s="180" t="s">
        <v>212</v>
      </c>
      <c r="F316" s="180">
        <f t="shared" si="7"/>
        <v>0</v>
      </c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</row>
    <row r="317">
      <c r="A317" s="179">
        <f>IF(and(D317&gt;='TTP Tracker 26'!$C$3,D317&lt;'TTP Tracker 26'!$C$4),1,0)</f>
        <v>0</v>
      </c>
      <c r="B317" s="180">
        <f>if(and(D317&gt;TODAY(),D317&lt;'TTP Tracker 26'!$C$4),1,0)</f>
        <v>0</v>
      </c>
      <c r="C317" s="180">
        <f>if('TTP Tracker 26'!$B$2="MONTHLY TOTAL",$A317,$B317)</f>
        <v>0</v>
      </c>
      <c r="D317" s="181">
        <v>46190.0</v>
      </c>
      <c r="E317" s="180" t="s">
        <v>213</v>
      </c>
      <c r="F317" s="180">
        <f t="shared" si="7"/>
        <v>0</v>
      </c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  <c r="AC317" s="177"/>
      <c r="AD317" s="177"/>
      <c r="AE317" s="177"/>
      <c r="AF317" s="177"/>
      <c r="AG317" s="177"/>
      <c r="AH317" s="177"/>
      <c r="AI317" s="177"/>
    </row>
    <row r="318">
      <c r="A318" s="179">
        <f>IF(and(D318&gt;='TTP Tracker 26'!$C$3,D318&lt;'TTP Tracker 26'!$C$4),1,0)</f>
        <v>0</v>
      </c>
      <c r="B318" s="180">
        <f>if(and(D318&gt;TODAY(),D318&lt;'TTP Tracker 26'!$C$4),1,0)</f>
        <v>0</v>
      </c>
      <c r="C318" s="180">
        <f>if('TTP Tracker 26'!$B$2="MONTHLY TOTAL",$A318,$B318)</f>
        <v>0</v>
      </c>
      <c r="D318" s="181">
        <v>46191.0</v>
      </c>
      <c r="E318" s="180" t="s">
        <v>207</v>
      </c>
      <c r="F318" s="180">
        <f t="shared" si="7"/>
        <v>0</v>
      </c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  <c r="AC318" s="177"/>
      <c r="AD318" s="177"/>
      <c r="AE318" s="177"/>
      <c r="AF318" s="177"/>
      <c r="AG318" s="177"/>
      <c r="AH318" s="177"/>
      <c r="AI318" s="177"/>
    </row>
    <row r="319">
      <c r="A319" s="179">
        <f>IF(and(D319&gt;='TTP Tracker 26'!$C$3,D319&lt;'TTP Tracker 26'!$C$4),1,0)</f>
        <v>0</v>
      </c>
      <c r="B319" s="180">
        <f>if(and(D319&gt;TODAY(),D319&lt;'TTP Tracker 26'!$C$4),1,0)</f>
        <v>0</v>
      </c>
      <c r="C319" s="180">
        <f>if('TTP Tracker 26'!$B$2="MONTHLY TOTAL",$A319,$B319)</f>
        <v>0</v>
      </c>
      <c r="D319" s="181">
        <v>46192.0</v>
      </c>
      <c r="E319" s="180" t="s">
        <v>208</v>
      </c>
      <c r="F319" s="180">
        <f t="shared" si="7"/>
        <v>0</v>
      </c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  <c r="AC319" s="177"/>
      <c r="AD319" s="177"/>
      <c r="AE319" s="177"/>
      <c r="AF319" s="177"/>
      <c r="AG319" s="177"/>
      <c r="AH319" s="177"/>
      <c r="AI319" s="177"/>
    </row>
    <row r="320">
      <c r="A320" s="179">
        <f>IF(and(D320&gt;='TTP Tracker 26'!$C$3,D320&lt;'TTP Tracker 26'!$C$4),1,0)</f>
        <v>0</v>
      </c>
      <c r="B320" s="180">
        <f>if(and(D320&gt;TODAY(),D320&lt;'TTP Tracker 26'!$C$4),1,0)</f>
        <v>0</v>
      </c>
      <c r="C320" s="180">
        <f>if('TTP Tracker 26'!$B$2="MONTHLY TOTAL",$A320,$B320)</f>
        <v>0</v>
      </c>
      <c r="D320" s="181">
        <v>46193.0</v>
      </c>
      <c r="E320" s="180" t="s">
        <v>209</v>
      </c>
      <c r="F320" s="180">
        <f t="shared" si="7"/>
        <v>0</v>
      </c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  <c r="AC320" s="177"/>
      <c r="AD320" s="177"/>
      <c r="AE320" s="177"/>
      <c r="AF320" s="177"/>
      <c r="AG320" s="177"/>
      <c r="AH320" s="177"/>
      <c r="AI320" s="177"/>
    </row>
    <row r="321">
      <c r="A321" s="179">
        <f>IF(and(D321&gt;='TTP Tracker 26'!$C$3,D321&lt;'TTP Tracker 26'!$C$4),1,0)</f>
        <v>0</v>
      </c>
      <c r="B321" s="180">
        <f>if(and(D321&gt;TODAY(),D321&lt;'TTP Tracker 26'!$C$4),1,0)</f>
        <v>0</v>
      </c>
      <c r="C321" s="180">
        <f>if('TTP Tracker 26'!$B$2="MONTHLY TOTAL",$A321,$B321)</f>
        <v>0</v>
      </c>
      <c r="D321" s="181">
        <v>46194.0</v>
      </c>
      <c r="E321" s="180" t="s">
        <v>210</v>
      </c>
      <c r="F321" s="180">
        <f t="shared" si="7"/>
        <v>0</v>
      </c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  <c r="AC321" s="177"/>
      <c r="AD321" s="177"/>
      <c r="AE321" s="177"/>
      <c r="AF321" s="177"/>
      <c r="AG321" s="177"/>
      <c r="AH321" s="177"/>
      <c r="AI321" s="177"/>
    </row>
    <row r="322">
      <c r="A322" s="179">
        <f>IF(and(D322&gt;='TTP Tracker 26'!$C$3,D322&lt;'TTP Tracker 26'!$C$4),1,0)</f>
        <v>0</v>
      </c>
      <c r="B322" s="180">
        <f>if(and(D322&gt;TODAY(),D322&lt;'TTP Tracker 26'!$C$4),1,0)</f>
        <v>0</v>
      </c>
      <c r="C322" s="180">
        <f>if('TTP Tracker 26'!$B$2="MONTHLY TOTAL",$A322,$B322)</f>
        <v>0</v>
      </c>
      <c r="D322" s="181">
        <v>46195.0</v>
      </c>
      <c r="E322" s="180" t="s">
        <v>211</v>
      </c>
      <c r="F322" s="180">
        <f t="shared" si="7"/>
        <v>0</v>
      </c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  <c r="AC322" s="177"/>
      <c r="AD322" s="177"/>
      <c r="AE322" s="177"/>
      <c r="AF322" s="177"/>
      <c r="AG322" s="177"/>
      <c r="AH322" s="177"/>
      <c r="AI322" s="177"/>
    </row>
    <row r="323">
      <c r="A323" s="179">
        <f>IF(and(D323&gt;='TTP Tracker 26'!$C$3,D323&lt;'TTP Tracker 26'!$C$4),1,0)</f>
        <v>0</v>
      </c>
      <c r="B323" s="180">
        <f>if(and(D323&gt;TODAY(),D323&lt;'TTP Tracker 26'!$C$4),1,0)</f>
        <v>0</v>
      </c>
      <c r="C323" s="180">
        <f>if('TTP Tracker 26'!$B$2="MONTHLY TOTAL",$A323,$B323)</f>
        <v>0</v>
      </c>
      <c r="D323" s="181">
        <v>46196.0</v>
      </c>
      <c r="E323" s="180" t="s">
        <v>212</v>
      </c>
      <c r="F323" s="180">
        <f t="shared" si="7"/>
        <v>0</v>
      </c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  <c r="AC323" s="177"/>
      <c r="AD323" s="177"/>
      <c r="AE323" s="177"/>
      <c r="AF323" s="177"/>
      <c r="AG323" s="177"/>
      <c r="AH323" s="177"/>
      <c r="AI323" s="177"/>
    </row>
    <row r="324">
      <c r="A324" s="179">
        <f>IF(and(D324&gt;='TTP Tracker 26'!$C$3,D324&lt;'TTP Tracker 26'!$C$4),1,0)</f>
        <v>0</v>
      </c>
      <c r="B324" s="180">
        <f>if(and(D324&gt;TODAY(),D324&lt;'TTP Tracker 26'!$C$4),1,0)</f>
        <v>0</v>
      </c>
      <c r="C324" s="180">
        <f>if('TTP Tracker 26'!$B$2="MONTHLY TOTAL",$A324,$B324)</f>
        <v>0</v>
      </c>
      <c r="D324" s="181">
        <v>46197.0</v>
      </c>
      <c r="E324" s="180" t="s">
        <v>213</v>
      </c>
      <c r="F324" s="180">
        <f t="shared" si="7"/>
        <v>0</v>
      </c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  <c r="AC324" s="177"/>
      <c r="AD324" s="177"/>
      <c r="AE324" s="177"/>
      <c r="AF324" s="177"/>
      <c r="AG324" s="177"/>
      <c r="AH324" s="177"/>
      <c r="AI324" s="177"/>
    </row>
    <row r="325">
      <c r="A325" s="179">
        <f>IF(and(D325&gt;='TTP Tracker 26'!$C$3,D325&lt;'TTP Tracker 26'!$C$4),1,0)</f>
        <v>0</v>
      </c>
      <c r="B325" s="180">
        <f>if(and(D325&gt;TODAY(),D325&lt;'TTP Tracker 26'!$C$4),1,0)</f>
        <v>0</v>
      </c>
      <c r="C325" s="180">
        <f>if('TTP Tracker 26'!$B$2="MONTHLY TOTAL",$A325,$B325)</f>
        <v>0</v>
      </c>
      <c r="D325" s="181">
        <v>46198.0</v>
      </c>
      <c r="E325" s="180" t="s">
        <v>207</v>
      </c>
      <c r="F325" s="180">
        <f t="shared" si="7"/>
        <v>0</v>
      </c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  <c r="AE325" s="177"/>
      <c r="AF325" s="177"/>
      <c r="AG325" s="177"/>
      <c r="AH325" s="177"/>
      <c r="AI325" s="177"/>
    </row>
    <row r="326">
      <c r="A326" s="179">
        <f>IF(and(D326&gt;='TTP Tracker 26'!$C$3,D326&lt;'TTP Tracker 26'!$C$4),1,0)</f>
        <v>0</v>
      </c>
      <c r="B326" s="180">
        <f>if(and(D326&gt;TODAY(),D326&lt;'TTP Tracker 26'!$C$4),1,0)</f>
        <v>0</v>
      </c>
      <c r="C326" s="180">
        <f>if('TTP Tracker 26'!$B$2="MONTHLY TOTAL",$A326,$B326)</f>
        <v>0</v>
      </c>
      <c r="D326" s="181">
        <v>46199.0</v>
      </c>
      <c r="E326" s="180" t="s">
        <v>208</v>
      </c>
      <c r="F326" s="180">
        <f t="shared" si="7"/>
        <v>0</v>
      </c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  <c r="AC326" s="177"/>
      <c r="AD326" s="177"/>
      <c r="AE326" s="177"/>
      <c r="AF326" s="177"/>
      <c r="AG326" s="177"/>
      <c r="AH326" s="177"/>
      <c r="AI326" s="177"/>
    </row>
    <row r="327">
      <c r="A327" s="179">
        <f>IF(and(D327&gt;='TTP Tracker 26'!$C$3,D327&lt;'TTP Tracker 26'!$C$4),1,0)</f>
        <v>0</v>
      </c>
      <c r="B327" s="180">
        <f>if(and(D327&gt;TODAY(),D327&lt;'TTP Tracker 26'!$C$4),1,0)</f>
        <v>0</v>
      </c>
      <c r="C327" s="180">
        <f>if('TTP Tracker 26'!$B$2="MONTHLY TOTAL",$A327,$B327)</f>
        <v>0</v>
      </c>
      <c r="D327" s="181">
        <v>46200.0</v>
      </c>
      <c r="E327" s="180" t="s">
        <v>209</v>
      </c>
      <c r="F327" s="180">
        <f t="shared" si="7"/>
        <v>0</v>
      </c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  <c r="AC327" s="177"/>
      <c r="AD327" s="177"/>
      <c r="AE327" s="177"/>
      <c r="AF327" s="177"/>
      <c r="AG327" s="177"/>
      <c r="AH327" s="177"/>
      <c r="AI327" s="177"/>
    </row>
    <row r="328">
      <c r="A328" s="179">
        <f>IF(and(D328&gt;='TTP Tracker 26'!$C$3,D328&lt;'TTP Tracker 26'!$C$4),1,0)</f>
        <v>0</v>
      </c>
      <c r="B328" s="180">
        <f>if(and(D328&gt;TODAY(),D328&lt;'TTP Tracker 26'!$C$4),1,0)</f>
        <v>0</v>
      </c>
      <c r="C328" s="180">
        <f>if('TTP Tracker 26'!$B$2="MONTHLY TOTAL",$A328,$B328)</f>
        <v>0</v>
      </c>
      <c r="D328" s="181">
        <v>46201.0</v>
      </c>
      <c r="E328" s="180" t="s">
        <v>210</v>
      </c>
      <c r="F328" s="180">
        <f t="shared" si="7"/>
        <v>0</v>
      </c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77"/>
      <c r="AD328" s="177"/>
      <c r="AE328" s="177"/>
      <c r="AF328" s="177"/>
      <c r="AG328" s="177"/>
      <c r="AH328" s="177"/>
      <c r="AI328" s="177"/>
    </row>
    <row r="329">
      <c r="A329" s="179">
        <f>IF(and(D329&gt;='TTP Tracker 26'!$C$3,D329&lt;'TTP Tracker 26'!$C$4),1,0)</f>
        <v>0</v>
      </c>
      <c r="B329" s="180">
        <f>if(and(D329&gt;TODAY(),D329&lt;'TTP Tracker 26'!$C$4),1,0)</f>
        <v>0</v>
      </c>
      <c r="C329" s="180">
        <f>if('TTP Tracker 26'!$B$2="MONTHLY TOTAL",$A329,$B329)</f>
        <v>0</v>
      </c>
      <c r="D329" s="181">
        <v>46202.0</v>
      </c>
      <c r="E329" s="180" t="s">
        <v>211</v>
      </c>
      <c r="F329" s="180">
        <f t="shared" si="7"/>
        <v>0</v>
      </c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  <c r="AC329" s="177"/>
      <c r="AD329" s="177"/>
      <c r="AE329" s="177"/>
      <c r="AF329" s="177"/>
      <c r="AG329" s="177"/>
      <c r="AH329" s="177"/>
      <c r="AI329" s="177"/>
    </row>
    <row r="330">
      <c r="A330" s="179">
        <f>IF(and(D330&gt;='TTP Tracker 26'!$C$3,D330&lt;'TTP Tracker 26'!$C$4),1,0)</f>
        <v>0</v>
      </c>
      <c r="B330" s="180">
        <f>if(and(D330&gt;TODAY(),D330&lt;'TTP Tracker 26'!$C$4),1,0)</f>
        <v>0</v>
      </c>
      <c r="C330" s="180">
        <f>if('TTP Tracker 26'!$B$2="MONTHLY TOTAL",$A330,$B330)</f>
        <v>0</v>
      </c>
      <c r="D330" s="181">
        <v>46203.0</v>
      </c>
      <c r="E330" s="180" t="s">
        <v>212</v>
      </c>
      <c r="F330" s="180">
        <f t="shared" si="7"/>
        <v>0</v>
      </c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  <c r="AC330" s="177"/>
      <c r="AD330" s="177"/>
      <c r="AE330" s="177"/>
      <c r="AF330" s="177"/>
      <c r="AG330" s="177"/>
      <c r="AH330" s="177"/>
      <c r="AI330" s="177"/>
    </row>
    <row r="331">
      <c r="A331" s="179">
        <f>IF(and(D331&gt;='TTP Tracker 26'!$C$3,D331&lt;'TTP Tracker 26'!$C$4),1,0)</f>
        <v>0</v>
      </c>
      <c r="B331" s="180">
        <f>if(and(D331&gt;TODAY(),D331&lt;'TTP Tracker 26'!$C$4),1,0)</f>
        <v>0</v>
      </c>
      <c r="C331" s="180">
        <f>if('TTP Tracker 26'!$B$2="MONTHLY TOTAL",$A331,$B331)</f>
        <v>0</v>
      </c>
      <c r="D331" s="181">
        <v>46204.0</v>
      </c>
      <c r="E331" s="180" t="s">
        <v>213</v>
      </c>
      <c r="F331" s="180">
        <f t="shared" si="7"/>
        <v>0</v>
      </c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  <c r="AC331" s="177"/>
      <c r="AD331" s="177"/>
      <c r="AE331" s="177"/>
      <c r="AF331" s="177"/>
      <c r="AG331" s="177"/>
      <c r="AH331" s="177"/>
      <c r="AI331" s="177"/>
    </row>
    <row r="332">
      <c r="A332" s="179">
        <f>IF(and(D332&gt;='TTP Tracker 26'!$C$3,D332&lt;'TTP Tracker 26'!$C$4),1,0)</f>
        <v>0</v>
      </c>
      <c r="B332" s="180">
        <f>if(and(D332&gt;TODAY(),D332&lt;'TTP Tracker 26'!$C$4),1,0)</f>
        <v>0</v>
      </c>
      <c r="C332" s="180">
        <f>if('TTP Tracker 26'!$B$2="MONTHLY TOTAL",$A332,$B332)</f>
        <v>0</v>
      </c>
      <c r="D332" s="181">
        <v>46205.0</v>
      </c>
      <c r="E332" s="180" t="s">
        <v>207</v>
      </c>
      <c r="F332" s="180">
        <f t="shared" si="7"/>
        <v>0</v>
      </c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  <c r="AC332" s="177"/>
      <c r="AD332" s="177"/>
      <c r="AE332" s="177"/>
      <c r="AF332" s="177"/>
      <c r="AG332" s="177"/>
      <c r="AH332" s="177"/>
      <c r="AI332" s="177"/>
    </row>
    <row r="333">
      <c r="A333" s="179">
        <f>IF(and(D333&gt;='TTP Tracker 26'!$C$3,D333&lt;'TTP Tracker 26'!$C$4),1,0)</f>
        <v>0</v>
      </c>
      <c r="B333" s="180">
        <f>if(and(D333&gt;TODAY(),D333&lt;'TTP Tracker 26'!$C$4),1,0)</f>
        <v>0</v>
      </c>
      <c r="C333" s="180">
        <f>if('TTP Tracker 26'!$B$2="MONTHLY TOTAL",$A333,$B333)</f>
        <v>0</v>
      </c>
      <c r="D333" s="181">
        <v>46206.0</v>
      </c>
      <c r="E333" s="180" t="s">
        <v>208</v>
      </c>
      <c r="F333" s="180">
        <f t="shared" si="7"/>
        <v>0</v>
      </c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  <c r="AE333" s="177"/>
      <c r="AF333" s="177"/>
      <c r="AG333" s="177"/>
      <c r="AH333" s="177"/>
      <c r="AI333" s="177"/>
    </row>
    <row r="334">
      <c r="A334" s="179">
        <f>IF(and(D334&gt;='TTP Tracker 26'!$C$3,D334&lt;'TTP Tracker 26'!$C$4),1,0)</f>
        <v>0</v>
      </c>
      <c r="B334" s="180">
        <f>if(and(D334&gt;TODAY(),D334&lt;'TTP Tracker 26'!$C$4),1,0)</f>
        <v>0</v>
      </c>
      <c r="C334" s="180">
        <f>if('TTP Tracker 26'!$B$2="MONTHLY TOTAL",$A334,$B334)</f>
        <v>0</v>
      </c>
      <c r="D334" s="181">
        <v>46207.0</v>
      </c>
      <c r="E334" s="180" t="s">
        <v>209</v>
      </c>
      <c r="F334" s="180">
        <f t="shared" si="7"/>
        <v>0</v>
      </c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77"/>
      <c r="AD334" s="177"/>
      <c r="AE334" s="177"/>
      <c r="AF334" s="177"/>
      <c r="AG334" s="177"/>
      <c r="AH334" s="177"/>
      <c r="AI334" s="177"/>
    </row>
    <row r="335">
      <c r="A335" s="179">
        <f>IF(and(D335&gt;='TTP Tracker 26'!$C$3,D335&lt;'TTP Tracker 26'!$C$4),1,0)</f>
        <v>0</v>
      </c>
      <c r="B335" s="180">
        <f>if(and(D335&gt;TODAY(),D335&lt;'TTP Tracker 26'!$C$4),1,0)</f>
        <v>0</v>
      </c>
      <c r="C335" s="180">
        <f>if('TTP Tracker 26'!$B$2="MONTHLY TOTAL",$A335,$B335)</f>
        <v>0</v>
      </c>
      <c r="D335" s="181">
        <v>46208.0</v>
      </c>
      <c r="E335" s="180" t="s">
        <v>210</v>
      </c>
      <c r="F335" s="180">
        <f t="shared" si="7"/>
        <v>0</v>
      </c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177"/>
      <c r="AE335" s="177"/>
      <c r="AF335" s="177"/>
      <c r="AG335" s="177"/>
      <c r="AH335" s="177"/>
      <c r="AI335" s="177"/>
    </row>
    <row r="336">
      <c r="A336" s="179">
        <f>IF(and(D336&gt;='TTP Tracker 26'!$C$3,D336&lt;'TTP Tracker 26'!$C$4),1,0)</f>
        <v>0</v>
      </c>
      <c r="B336" s="180">
        <f>if(and(D336&gt;TODAY(),D336&lt;'TTP Tracker 26'!$C$4),1,0)</f>
        <v>0</v>
      </c>
      <c r="C336" s="180">
        <f>if('TTP Tracker 26'!$B$2="MONTHLY TOTAL",$A336,$B336)</f>
        <v>0</v>
      </c>
      <c r="D336" s="181">
        <v>46209.0</v>
      </c>
      <c r="E336" s="180" t="s">
        <v>211</v>
      </c>
      <c r="F336" s="180">
        <f t="shared" si="7"/>
        <v>0</v>
      </c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177"/>
      <c r="AG336" s="177"/>
      <c r="AH336" s="177"/>
      <c r="AI336" s="177"/>
    </row>
    <row r="337">
      <c r="A337" s="179">
        <f>IF(and(D337&gt;='TTP Tracker 26'!$C$3,D337&lt;'TTP Tracker 26'!$C$4),1,0)</f>
        <v>0</v>
      </c>
      <c r="B337" s="180">
        <f>if(and(D337&gt;TODAY(),D337&lt;'TTP Tracker 26'!$C$4),1,0)</f>
        <v>0</v>
      </c>
      <c r="C337" s="180">
        <f>if('TTP Tracker 26'!$B$2="MONTHLY TOTAL",$A337,$B337)</f>
        <v>0</v>
      </c>
      <c r="D337" s="181">
        <v>46210.0</v>
      </c>
      <c r="E337" s="180" t="s">
        <v>212</v>
      </c>
      <c r="F337" s="180">
        <f t="shared" si="7"/>
        <v>0</v>
      </c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177"/>
      <c r="AE337" s="177"/>
      <c r="AF337" s="177"/>
      <c r="AG337" s="177"/>
      <c r="AH337" s="177"/>
      <c r="AI337" s="177"/>
    </row>
    <row r="338">
      <c r="A338" s="179">
        <f>IF(and(D338&gt;='TTP Tracker 26'!$C$3,D338&lt;'TTP Tracker 26'!$C$4),1,0)</f>
        <v>0</v>
      </c>
      <c r="B338" s="180">
        <f>if(and(D338&gt;TODAY(),D338&lt;'TTP Tracker 26'!$C$4),1,0)</f>
        <v>0</v>
      </c>
      <c r="C338" s="180">
        <f>if('TTP Tracker 26'!$B$2="MONTHLY TOTAL",$A338,$B338)</f>
        <v>0</v>
      </c>
      <c r="D338" s="181">
        <v>46211.0</v>
      </c>
      <c r="E338" s="180" t="s">
        <v>213</v>
      </c>
      <c r="F338" s="180">
        <f t="shared" si="7"/>
        <v>0</v>
      </c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177"/>
      <c r="AE338" s="177"/>
      <c r="AF338" s="177"/>
      <c r="AG338" s="177"/>
      <c r="AH338" s="177"/>
      <c r="AI338" s="177"/>
    </row>
    <row r="339">
      <c r="A339" s="179">
        <f>IF(and(D339&gt;='TTP Tracker 26'!$C$3,D339&lt;'TTP Tracker 26'!$C$4),1,0)</f>
        <v>0</v>
      </c>
      <c r="B339" s="180">
        <f>if(and(D339&gt;TODAY(),D339&lt;'TTP Tracker 26'!$C$4),1,0)</f>
        <v>0</v>
      </c>
      <c r="C339" s="180">
        <f>if('TTP Tracker 26'!$B$2="MONTHLY TOTAL",$A339,$B339)</f>
        <v>0</v>
      </c>
      <c r="D339" s="181">
        <v>46212.0</v>
      </c>
      <c r="E339" s="180" t="s">
        <v>207</v>
      </c>
      <c r="F339" s="180">
        <f t="shared" si="7"/>
        <v>0</v>
      </c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  <c r="AE339" s="177"/>
      <c r="AF339" s="177"/>
      <c r="AG339" s="177"/>
      <c r="AH339" s="177"/>
      <c r="AI339" s="177"/>
    </row>
    <row r="340">
      <c r="A340" s="179">
        <f>IF(and(D340&gt;='TTP Tracker 26'!$C$3,D340&lt;'TTP Tracker 26'!$C$4),1,0)</f>
        <v>0</v>
      </c>
      <c r="B340" s="180">
        <f>if(and(D340&gt;TODAY(),D340&lt;'TTP Tracker 26'!$C$4),1,0)</f>
        <v>0</v>
      </c>
      <c r="C340" s="180">
        <f>if('TTP Tracker 26'!$B$2="MONTHLY TOTAL",$A340,$B340)</f>
        <v>0</v>
      </c>
      <c r="D340" s="181">
        <v>46213.0</v>
      </c>
      <c r="E340" s="180" t="s">
        <v>208</v>
      </c>
      <c r="F340" s="180">
        <f t="shared" si="7"/>
        <v>0</v>
      </c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177"/>
      <c r="AE340" s="177"/>
      <c r="AF340" s="177"/>
      <c r="AG340" s="177"/>
      <c r="AH340" s="177"/>
      <c r="AI340" s="177"/>
    </row>
    <row r="341">
      <c r="A341" s="179">
        <f>IF(and(D341&gt;='TTP Tracker 26'!$C$3,D341&lt;'TTP Tracker 26'!$C$4),1,0)</f>
        <v>0</v>
      </c>
      <c r="B341" s="180">
        <f>if(and(D341&gt;TODAY(),D341&lt;'TTP Tracker 26'!$C$4),1,0)</f>
        <v>0</v>
      </c>
      <c r="C341" s="180">
        <f>if('TTP Tracker 26'!$B$2="MONTHLY TOTAL",$A341,$B341)</f>
        <v>0</v>
      </c>
      <c r="D341" s="181">
        <v>46214.0</v>
      </c>
      <c r="E341" s="180" t="s">
        <v>209</v>
      </c>
      <c r="F341" s="180">
        <f t="shared" si="7"/>
        <v>0</v>
      </c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177"/>
      <c r="AE341" s="177"/>
      <c r="AF341" s="177"/>
      <c r="AG341" s="177"/>
      <c r="AH341" s="177"/>
      <c r="AI341" s="177"/>
    </row>
    <row r="342">
      <c r="A342" s="179">
        <f>IF(and(D342&gt;='TTP Tracker 26'!$C$3,D342&lt;'TTP Tracker 26'!$C$4),1,0)</f>
        <v>0</v>
      </c>
      <c r="B342" s="180">
        <f>if(and(D342&gt;TODAY(),D342&lt;'TTP Tracker 26'!$C$4),1,0)</f>
        <v>0</v>
      </c>
      <c r="C342" s="180">
        <f>if('TTP Tracker 26'!$B$2="MONTHLY TOTAL",$A342,$B342)</f>
        <v>0</v>
      </c>
      <c r="D342" s="181">
        <v>46215.0</v>
      </c>
      <c r="E342" s="180" t="s">
        <v>210</v>
      </c>
      <c r="F342" s="180">
        <f t="shared" si="7"/>
        <v>0</v>
      </c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177"/>
      <c r="AE342" s="177"/>
      <c r="AF342" s="177"/>
      <c r="AG342" s="177"/>
      <c r="AH342" s="177"/>
      <c r="AI342" s="177"/>
    </row>
    <row r="343">
      <c r="A343" s="179">
        <f>IF(and(D343&gt;='TTP Tracker 26'!$C$3,D343&lt;'TTP Tracker 26'!$C$4),1,0)</f>
        <v>0</v>
      </c>
      <c r="B343" s="180">
        <f>if(and(D343&gt;TODAY(),D343&lt;'TTP Tracker 26'!$C$4),1,0)</f>
        <v>0</v>
      </c>
      <c r="C343" s="180">
        <f>if('TTP Tracker 26'!$B$2="MONTHLY TOTAL",$A343,$B343)</f>
        <v>0</v>
      </c>
      <c r="D343" s="181">
        <v>46216.0</v>
      </c>
      <c r="E343" s="180" t="s">
        <v>211</v>
      </c>
      <c r="F343" s="180">
        <f t="shared" si="7"/>
        <v>0</v>
      </c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177"/>
      <c r="AE343" s="177"/>
      <c r="AF343" s="177"/>
      <c r="AG343" s="177"/>
      <c r="AH343" s="177"/>
      <c r="AI343" s="177"/>
    </row>
    <row r="344">
      <c r="A344" s="179">
        <f>IF(and(D344&gt;='TTP Tracker 26'!$C$3,D344&lt;'TTP Tracker 26'!$C$4),1,0)</f>
        <v>0</v>
      </c>
      <c r="B344" s="180">
        <f>if(and(D344&gt;TODAY(),D344&lt;'TTP Tracker 26'!$C$4),1,0)</f>
        <v>0</v>
      </c>
      <c r="C344" s="180">
        <f>if('TTP Tracker 26'!$B$2="MONTHLY TOTAL",$A344,$B344)</f>
        <v>0</v>
      </c>
      <c r="D344" s="181">
        <v>46217.0</v>
      </c>
      <c r="E344" s="180" t="s">
        <v>212</v>
      </c>
      <c r="F344" s="180">
        <f t="shared" si="7"/>
        <v>0</v>
      </c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177"/>
      <c r="AE344" s="177"/>
      <c r="AF344" s="177"/>
      <c r="AG344" s="177"/>
      <c r="AH344" s="177"/>
      <c r="AI344" s="177"/>
    </row>
    <row r="345">
      <c r="A345" s="179">
        <f>IF(and(D345&gt;='TTP Tracker 26'!$C$3,D345&lt;'TTP Tracker 26'!$C$4),1,0)</f>
        <v>0</v>
      </c>
      <c r="B345" s="180">
        <f>if(and(D345&gt;TODAY(),D345&lt;'TTP Tracker 26'!$C$4),1,0)</f>
        <v>0</v>
      </c>
      <c r="C345" s="180">
        <f>if('TTP Tracker 26'!$B$2="MONTHLY TOTAL",$A345,$B345)</f>
        <v>0</v>
      </c>
      <c r="D345" s="181">
        <v>46218.0</v>
      </c>
      <c r="E345" s="180" t="s">
        <v>213</v>
      </c>
      <c r="F345" s="180">
        <f t="shared" si="7"/>
        <v>0</v>
      </c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177"/>
      <c r="AE345" s="177"/>
      <c r="AF345" s="177"/>
      <c r="AG345" s="177"/>
      <c r="AH345" s="177"/>
      <c r="AI345" s="177"/>
    </row>
    <row r="346">
      <c r="A346" s="179">
        <f>IF(and(D346&gt;='TTP Tracker 26'!$C$3,D346&lt;'TTP Tracker 26'!$C$4),1,0)</f>
        <v>0</v>
      </c>
      <c r="B346" s="180">
        <f>if(and(D346&gt;TODAY(),D346&lt;'TTP Tracker 26'!$C$4),1,0)</f>
        <v>0</v>
      </c>
      <c r="C346" s="180">
        <f>if('TTP Tracker 26'!$B$2="MONTHLY TOTAL",$A346,$B346)</f>
        <v>0</v>
      </c>
      <c r="D346" s="181">
        <v>46219.0</v>
      </c>
      <c r="E346" s="180" t="s">
        <v>207</v>
      </c>
      <c r="F346" s="180">
        <f t="shared" si="7"/>
        <v>0</v>
      </c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177"/>
      <c r="AE346" s="177"/>
      <c r="AF346" s="177"/>
      <c r="AG346" s="177"/>
      <c r="AH346" s="177"/>
      <c r="AI346" s="177"/>
    </row>
    <row r="347">
      <c r="A347" s="179">
        <f>IF(and(D347&gt;='TTP Tracker 26'!$C$3,D347&lt;'TTP Tracker 26'!$C$4),1,0)</f>
        <v>0</v>
      </c>
      <c r="B347" s="180">
        <f>if(and(D347&gt;TODAY(),D347&lt;'TTP Tracker 26'!$C$4),1,0)</f>
        <v>0</v>
      </c>
      <c r="C347" s="180">
        <f>if('TTP Tracker 26'!$B$2="MONTHLY TOTAL",$A347,$B347)</f>
        <v>0</v>
      </c>
      <c r="D347" s="181">
        <v>46220.0</v>
      </c>
      <c r="E347" s="180" t="s">
        <v>208</v>
      </c>
      <c r="F347" s="180">
        <f t="shared" si="7"/>
        <v>0</v>
      </c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177"/>
      <c r="AE347" s="177"/>
      <c r="AF347" s="177"/>
      <c r="AG347" s="177"/>
      <c r="AH347" s="177"/>
      <c r="AI347" s="177"/>
    </row>
    <row r="348">
      <c r="A348" s="179">
        <f>IF(and(D348&gt;='TTP Tracker 26'!$C$3,D348&lt;'TTP Tracker 26'!$C$4),1,0)</f>
        <v>0</v>
      </c>
      <c r="B348" s="180">
        <f>if(and(D348&gt;TODAY(),D348&lt;'TTP Tracker 26'!$C$4),1,0)</f>
        <v>0</v>
      </c>
      <c r="C348" s="180">
        <f>if('TTP Tracker 26'!$B$2="MONTHLY TOTAL",$A348,$B348)</f>
        <v>0</v>
      </c>
      <c r="D348" s="181">
        <v>46221.0</v>
      </c>
      <c r="E348" s="180" t="s">
        <v>209</v>
      </c>
      <c r="F348" s="180">
        <f t="shared" si="7"/>
        <v>0</v>
      </c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177"/>
      <c r="AE348" s="177"/>
      <c r="AF348" s="177"/>
      <c r="AG348" s="177"/>
      <c r="AH348" s="177"/>
      <c r="AI348" s="177"/>
    </row>
    <row r="349">
      <c r="A349" s="179">
        <f>IF(and(D349&gt;='TTP Tracker 26'!$C$3,D349&lt;'TTP Tracker 26'!$C$4),1,0)</f>
        <v>0</v>
      </c>
      <c r="B349" s="180">
        <f>if(and(D349&gt;TODAY(),D349&lt;'TTP Tracker 26'!$C$4),1,0)</f>
        <v>0</v>
      </c>
      <c r="C349" s="180">
        <f>if('TTP Tracker 26'!$B$2="MONTHLY TOTAL",$A349,$B349)</f>
        <v>0</v>
      </c>
      <c r="D349" s="181">
        <v>46222.0</v>
      </c>
      <c r="E349" s="180" t="s">
        <v>210</v>
      </c>
      <c r="F349" s="180">
        <f t="shared" si="7"/>
        <v>0</v>
      </c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177"/>
      <c r="AE349" s="177"/>
      <c r="AF349" s="177"/>
      <c r="AG349" s="177"/>
      <c r="AH349" s="177"/>
      <c r="AI349" s="177"/>
    </row>
    <row r="350">
      <c r="A350" s="179">
        <f>IF(and(D350&gt;='TTP Tracker 26'!$C$3,D350&lt;'TTP Tracker 26'!$C$4),1,0)</f>
        <v>0</v>
      </c>
      <c r="B350" s="180">
        <f>if(and(D350&gt;TODAY(),D350&lt;'TTP Tracker 26'!$C$4),1,0)</f>
        <v>0</v>
      </c>
      <c r="C350" s="180">
        <f>if('TTP Tracker 26'!$B$2="MONTHLY TOTAL",$A350,$B350)</f>
        <v>0</v>
      </c>
      <c r="D350" s="181">
        <v>46223.0</v>
      </c>
      <c r="E350" s="180" t="s">
        <v>211</v>
      </c>
      <c r="F350" s="180">
        <f t="shared" si="7"/>
        <v>0</v>
      </c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177"/>
      <c r="AE350" s="177"/>
      <c r="AF350" s="177"/>
      <c r="AG350" s="177"/>
      <c r="AH350" s="177"/>
      <c r="AI350" s="177"/>
    </row>
    <row r="351">
      <c r="A351" s="179">
        <f>IF(and(D351&gt;='TTP Tracker 26'!$C$3,D351&lt;'TTP Tracker 26'!$C$4),1,0)</f>
        <v>0</v>
      </c>
      <c r="B351" s="180">
        <f>if(and(D351&gt;TODAY(),D351&lt;'TTP Tracker 26'!$C$4),1,0)</f>
        <v>0</v>
      </c>
      <c r="C351" s="180">
        <f>if('TTP Tracker 26'!$B$2="MONTHLY TOTAL",$A351,$B351)</f>
        <v>0</v>
      </c>
      <c r="D351" s="181">
        <v>46224.0</v>
      </c>
      <c r="E351" s="180" t="s">
        <v>212</v>
      </c>
      <c r="F351" s="180">
        <f t="shared" si="7"/>
        <v>0</v>
      </c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177"/>
      <c r="AE351" s="177"/>
      <c r="AF351" s="177"/>
      <c r="AG351" s="177"/>
      <c r="AH351" s="177"/>
      <c r="AI351" s="177"/>
    </row>
    <row r="352">
      <c r="A352" s="179">
        <f>IF(and(D352&gt;='TTP Tracker 26'!$C$3,D352&lt;'TTP Tracker 26'!$C$4),1,0)</f>
        <v>0</v>
      </c>
      <c r="B352" s="180">
        <f>if(and(D352&gt;TODAY(),D352&lt;'TTP Tracker 26'!$C$4),1,0)</f>
        <v>0</v>
      </c>
      <c r="C352" s="180">
        <f>if('TTP Tracker 26'!$B$2="MONTHLY TOTAL",$A352,$B352)</f>
        <v>0</v>
      </c>
      <c r="D352" s="181">
        <v>46225.0</v>
      </c>
      <c r="E352" s="180" t="s">
        <v>213</v>
      </c>
      <c r="F352" s="180">
        <f t="shared" si="7"/>
        <v>0</v>
      </c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  <c r="AC352" s="177"/>
      <c r="AD352" s="177"/>
      <c r="AE352" s="177"/>
      <c r="AF352" s="177"/>
      <c r="AG352" s="177"/>
      <c r="AH352" s="177"/>
      <c r="AI352" s="177"/>
    </row>
    <row r="353">
      <c r="A353" s="179">
        <f>IF(and(D353&gt;='TTP Tracker 26'!$C$3,D353&lt;'TTP Tracker 26'!$C$4),1,0)</f>
        <v>0</v>
      </c>
      <c r="B353" s="180">
        <f>if(and(D353&gt;TODAY(),D353&lt;'TTP Tracker 26'!$C$4),1,0)</f>
        <v>0</v>
      </c>
      <c r="C353" s="180">
        <f>if('TTP Tracker 26'!$B$2="MONTHLY TOTAL",$A353,$B353)</f>
        <v>0</v>
      </c>
      <c r="D353" s="181">
        <v>46226.0</v>
      </c>
      <c r="E353" s="180" t="s">
        <v>207</v>
      </c>
      <c r="F353" s="180">
        <f t="shared" si="7"/>
        <v>0</v>
      </c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  <c r="AC353" s="177"/>
      <c r="AD353" s="177"/>
      <c r="AE353" s="177"/>
      <c r="AF353" s="177"/>
      <c r="AG353" s="177"/>
      <c r="AH353" s="177"/>
      <c r="AI353" s="177"/>
    </row>
    <row r="354">
      <c r="A354" s="179">
        <f>IF(and(D354&gt;='TTP Tracker 26'!$C$3,D354&lt;'TTP Tracker 26'!$C$4),1,0)</f>
        <v>0</v>
      </c>
      <c r="B354" s="180">
        <f>if(and(D354&gt;TODAY(),D354&lt;'TTP Tracker 26'!$C$4),1,0)</f>
        <v>0</v>
      </c>
      <c r="C354" s="180">
        <f>if('TTP Tracker 26'!$B$2="MONTHLY TOTAL",$A354,$B354)</f>
        <v>0</v>
      </c>
      <c r="D354" s="181">
        <v>46227.0</v>
      </c>
      <c r="E354" s="180" t="s">
        <v>208</v>
      </c>
      <c r="F354" s="180">
        <f t="shared" si="7"/>
        <v>0</v>
      </c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  <c r="AE354" s="177"/>
      <c r="AF354" s="177"/>
      <c r="AG354" s="177"/>
      <c r="AH354" s="177"/>
      <c r="AI354" s="177"/>
    </row>
    <row r="355">
      <c r="A355" s="179">
        <f>IF(and(D355&gt;='TTP Tracker 26'!$C$3,D355&lt;'TTP Tracker 26'!$C$4),1,0)</f>
        <v>0</v>
      </c>
      <c r="B355" s="180">
        <f>if(and(D355&gt;TODAY(),D355&lt;'TTP Tracker 26'!$C$4),1,0)</f>
        <v>0</v>
      </c>
      <c r="C355" s="180">
        <f>if('TTP Tracker 26'!$B$2="MONTHLY TOTAL",$A355,$B355)</f>
        <v>0</v>
      </c>
      <c r="D355" s="181">
        <v>46228.0</v>
      </c>
      <c r="E355" s="180" t="s">
        <v>209</v>
      </c>
      <c r="F355" s="180">
        <f t="shared" si="7"/>
        <v>0</v>
      </c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  <c r="AC355" s="177"/>
      <c r="AD355" s="177"/>
      <c r="AE355" s="177"/>
      <c r="AF355" s="177"/>
      <c r="AG355" s="177"/>
      <c r="AH355" s="177"/>
      <c r="AI355" s="177"/>
    </row>
    <row r="356">
      <c r="A356" s="179">
        <f>IF(and(D356&gt;='TTP Tracker 26'!$C$3,D356&lt;'TTP Tracker 26'!$C$4),1,0)</f>
        <v>0</v>
      </c>
      <c r="B356" s="180">
        <f>if(and(D356&gt;TODAY(),D356&lt;'TTP Tracker 26'!$C$4),1,0)</f>
        <v>0</v>
      </c>
      <c r="C356" s="180">
        <f>if('TTP Tracker 26'!$B$2="MONTHLY TOTAL",$A356,$B356)</f>
        <v>0</v>
      </c>
      <c r="D356" s="181">
        <v>46229.0</v>
      </c>
      <c r="E356" s="180" t="s">
        <v>210</v>
      </c>
      <c r="F356" s="180">
        <f t="shared" si="7"/>
        <v>0</v>
      </c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  <c r="AE356" s="177"/>
      <c r="AF356" s="177"/>
      <c r="AG356" s="177"/>
      <c r="AH356" s="177"/>
      <c r="AI356" s="177"/>
    </row>
    <row r="357">
      <c r="A357" s="179">
        <f>IF(and(D357&gt;='TTP Tracker 26'!$C$3,D357&lt;'TTP Tracker 26'!$C$4),1,0)</f>
        <v>0</v>
      </c>
      <c r="B357" s="180">
        <f>if(and(D357&gt;TODAY(),D357&lt;'TTP Tracker 26'!$C$4),1,0)</f>
        <v>0</v>
      </c>
      <c r="C357" s="180">
        <f>if('TTP Tracker 26'!$B$2="MONTHLY TOTAL",$A357,$B357)</f>
        <v>0</v>
      </c>
      <c r="D357" s="181">
        <v>46230.0</v>
      </c>
      <c r="E357" s="180" t="s">
        <v>211</v>
      </c>
      <c r="F357" s="180">
        <f t="shared" si="7"/>
        <v>0</v>
      </c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77"/>
      <c r="AD357" s="177"/>
      <c r="AE357" s="177"/>
      <c r="AF357" s="177"/>
      <c r="AG357" s="177"/>
      <c r="AH357" s="177"/>
      <c r="AI357" s="177"/>
    </row>
    <row r="358">
      <c r="A358" s="179">
        <f>IF(and(D358&gt;='TTP Tracker 26'!$C$3,D358&lt;'TTP Tracker 26'!$C$4),1,0)</f>
        <v>0</v>
      </c>
      <c r="B358" s="180">
        <f>if(and(D358&gt;TODAY(),D358&lt;'TTP Tracker 26'!$C$4),1,0)</f>
        <v>0</v>
      </c>
      <c r="C358" s="180">
        <f>if('TTP Tracker 26'!$B$2="MONTHLY TOTAL",$A358,$B358)</f>
        <v>0</v>
      </c>
      <c r="D358" s="181">
        <v>46231.0</v>
      </c>
      <c r="E358" s="180" t="s">
        <v>212</v>
      </c>
      <c r="F358" s="180">
        <f t="shared" si="7"/>
        <v>0</v>
      </c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  <c r="AE358" s="177"/>
      <c r="AF358" s="177"/>
      <c r="AG358" s="177"/>
      <c r="AH358" s="177"/>
      <c r="AI358" s="177"/>
    </row>
    <row r="359">
      <c r="A359" s="179">
        <f>IF(and(D359&gt;='TTP Tracker 26'!$C$3,D359&lt;'TTP Tracker 26'!$C$4),1,0)</f>
        <v>0</v>
      </c>
      <c r="B359" s="180">
        <f>if(and(D359&gt;TODAY(),D359&lt;'TTP Tracker 26'!$C$4),1,0)</f>
        <v>0</v>
      </c>
      <c r="C359" s="180">
        <f>if('TTP Tracker 26'!$B$2="MONTHLY TOTAL",$A359,$B359)</f>
        <v>0</v>
      </c>
      <c r="D359" s="181">
        <v>46232.0</v>
      </c>
      <c r="E359" s="180" t="s">
        <v>213</v>
      </c>
      <c r="F359" s="180">
        <f t="shared" si="7"/>
        <v>0</v>
      </c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177"/>
      <c r="AE359" s="177"/>
      <c r="AF359" s="177"/>
      <c r="AG359" s="177"/>
      <c r="AH359" s="177"/>
      <c r="AI359" s="177"/>
    </row>
    <row r="360">
      <c r="A360" s="179">
        <f>IF(and(D360&gt;='TTP Tracker 26'!$C$3,D360&lt;'TTP Tracker 26'!$C$4),1,0)</f>
        <v>0</v>
      </c>
      <c r="B360" s="180">
        <f>if(and(D360&gt;TODAY(),D360&lt;'TTP Tracker 26'!$C$4),1,0)</f>
        <v>0</v>
      </c>
      <c r="C360" s="180">
        <f>if('TTP Tracker 26'!$B$2="MONTHLY TOTAL",$A360,$B360)</f>
        <v>0</v>
      </c>
      <c r="D360" s="181">
        <v>46233.0</v>
      </c>
      <c r="E360" s="180" t="s">
        <v>207</v>
      </c>
      <c r="F360" s="180">
        <f t="shared" si="7"/>
        <v>0</v>
      </c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</row>
    <row r="361">
      <c r="A361" s="179">
        <f>IF(and(D361&gt;='TTP Tracker 26'!$C$3,D361&lt;'TTP Tracker 26'!$C$4),1,0)</f>
        <v>0</v>
      </c>
      <c r="B361" s="180">
        <f>if(and(D361&gt;TODAY(),D361&lt;'TTP Tracker 26'!$C$4),1,0)</f>
        <v>0</v>
      </c>
      <c r="C361" s="180">
        <f>if('TTP Tracker 26'!$B$2="MONTHLY TOTAL",$A361,$B361)</f>
        <v>0</v>
      </c>
      <c r="D361" s="181">
        <v>46234.0</v>
      </c>
      <c r="E361" s="180" t="s">
        <v>208</v>
      </c>
      <c r="F361" s="180">
        <f t="shared" si="7"/>
        <v>0</v>
      </c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177"/>
      <c r="AE361" s="177"/>
      <c r="AF361" s="177"/>
      <c r="AG361" s="177"/>
      <c r="AH361" s="177"/>
      <c r="AI361" s="177"/>
    </row>
    <row r="362">
      <c r="A362" s="179">
        <f>IF(and(D362&gt;='TTP Tracker 26'!$C$3,D362&lt;'TTP Tracker 26'!$C$4),1,0)</f>
        <v>0</v>
      </c>
      <c r="B362" s="180">
        <f>if(and(D362&gt;TODAY(),D362&lt;'TTP Tracker 26'!$C$4),1,0)</f>
        <v>0</v>
      </c>
      <c r="C362" s="180">
        <f>if('TTP Tracker 26'!$B$2="MONTHLY TOTAL",$A362,$B362)</f>
        <v>0</v>
      </c>
      <c r="D362" s="181">
        <v>46235.0</v>
      </c>
      <c r="E362" s="180" t="s">
        <v>209</v>
      </c>
      <c r="F362" s="180">
        <f t="shared" si="7"/>
        <v>0</v>
      </c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  <c r="AE362" s="177"/>
      <c r="AF362" s="177"/>
      <c r="AG362" s="177"/>
      <c r="AH362" s="177"/>
      <c r="AI362" s="177"/>
    </row>
    <row r="363">
      <c r="A363" s="179">
        <f>IF(and(D363&gt;='TTP Tracker 26'!$C$3,D363&lt;'TTP Tracker 26'!$C$4),1,0)</f>
        <v>0</v>
      </c>
      <c r="B363" s="180">
        <f>if(and(D363&gt;TODAY(),D363&lt;'TTP Tracker 26'!$C$4),1,0)</f>
        <v>0</v>
      </c>
      <c r="C363" s="180">
        <f>if('TTP Tracker 26'!$B$2="MONTHLY TOTAL",$A363,$B363)</f>
        <v>0</v>
      </c>
      <c r="D363" s="181">
        <v>46236.0</v>
      </c>
      <c r="E363" s="180" t="s">
        <v>210</v>
      </c>
      <c r="F363" s="180">
        <f t="shared" si="7"/>
        <v>0</v>
      </c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177"/>
      <c r="AE363" s="177"/>
      <c r="AF363" s="177"/>
      <c r="AG363" s="177"/>
      <c r="AH363" s="177"/>
      <c r="AI363" s="177"/>
    </row>
    <row r="364">
      <c r="A364" s="179">
        <f>IF(and(D364&gt;='TTP Tracker 26'!$C$3,D364&lt;'TTP Tracker 26'!$C$4),1,0)</f>
        <v>0</v>
      </c>
      <c r="B364" s="180">
        <f>if(and(D364&gt;TODAY(),D364&lt;'TTP Tracker 26'!$C$4),1,0)</f>
        <v>0</v>
      </c>
      <c r="C364" s="180">
        <f>if('TTP Tracker 26'!$B$2="MONTHLY TOTAL",$A364,$B364)</f>
        <v>0</v>
      </c>
      <c r="D364" s="181">
        <v>46237.0</v>
      </c>
      <c r="E364" s="180" t="s">
        <v>211</v>
      </c>
      <c r="F364" s="180">
        <f t="shared" si="7"/>
        <v>0</v>
      </c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  <c r="AE364" s="177"/>
      <c r="AF364" s="177"/>
      <c r="AG364" s="177"/>
      <c r="AH364" s="177"/>
      <c r="AI364" s="177"/>
    </row>
    <row r="365">
      <c r="A365" s="179">
        <f>IF(and(D365&gt;='TTP Tracker 26'!$C$3,D365&lt;'TTP Tracker 26'!$C$4),1,0)</f>
        <v>0</v>
      </c>
      <c r="B365" s="180">
        <f>if(and(D365&gt;TODAY(),D365&lt;'TTP Tracker 26'!$C$4),1,0)</f>
        <v>0</v>
      </c>
      <c r="C365" s="180">
        <f>if('TTP Tracker 26'!$B$2="MONTHLY TOTAL",$A365,$B365)</f>
        <v>0</v>
      </c>
      <c r="D365" s="181">
        <v>46238.0</v>
      </c>
      <c r="E365" s="180" t="s">
        <v>212</v>
      </c>
      <c r="F365" s="180">
        <f t="shared" si="7"/>
        <v>0</v>
      </c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177"/>
      <c r="AE365" s="177"/>
      <c r="AF365" s="177"/>
      <c r="AG365" s="177"/>
      <c r="AH365" s="177"/>
      <c r="AI365" s="177"/>
    </row>
    <row r="366">
      <c r="A366" s="179">
        <f>IF(and(D366&gt;='TTP Tracker 26'!$C$3,D366&lt;'TTP Tracker 26'!$C$4),1,0)</f>
        <v>0</v>
      </c>
      <c r="B366" s="180">
        <f>if(and(D366&gt;TODAY(),D366&lt;'TTP Tracker 26'!$C$4),1,0)</f>
        <v>0</v>
      </c>
      <c r="C366" s="180">
        <f>if('TTP Tracker 26'!$B$2="MONTHLY TOTAL",$A366,$B366)</f>
        <v>0</v>
      </c>
      <c r="D366" s="181">
        <v>46239.0</v>
      </c>
      <c r="E366" s="180" t="s">
        <v>213</v>
      </c>
      <c r="F366" s="180">
        <f t="shared" si="7"/>
        <v>0</v>
      </c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  <c r="AE366" s="177"/>
      <c r="AF366" s="177"/>
      <c r="AG366" s="177"/>
      <c r="AH366" s="177"/>
      <c r="AI366" s="177"/>
    </row>
    <row r="367">
      <c r="A367" s="179">
        <f>IF(and(D367&gt;='TTP Tracker 26'!$C$3,D367&lt;'TTP Tracker 26'!$C$4),1,0)</f>
        <v>0</v>
      </c>
      <c r="B367" s="180">
        <f>if(and(D367&gt;TODAY(),D367&lt;'TTP Tracker 26'!$C$4),1,0)</f>
        <v>0</v>
      </c>
      <c r="C367" s="180">
        <f>if('TTP Tracker 26'!$B$2="MONTHLY TOTAL",$A367,$B367)</f>
        <v>0</v>
      </c>
      <c r="D367" s="181">
        <v>46240.0</v>
      </c>
      <c r="E367" s="180" t="s">
        <v>207</v>
      </c>
      <c r="F367" s="180">
        <f t="shared" si="7"/>
        <v>0</v>
      </c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177"/>
      <c r="AE367" s="177"/>
      <c r="AF367" s="177"/>
      <c r="AG367" s="177"/>
      <c r="AH367" s="177"/>
      <c r="AI367" s="177"/>
    </row>
    <row r="368">
      <c r="A368" s="179">
        <f>IF(and(D368&gt;='TTP Tracker 26'!$C$3,D368&lt;'TTP Tracker 26'!$C$4),1,0)</f>
        <v>0</v>
      </c>
      <c r="B368" s="180">
        <f>if(and(D368&gt;TODAY(),D368&lt;'TTP Tracker 26'!$C$4),1,0)</f>
        <v>0</v>
      </c>
      <c r="C368" s="180">
        <f>if('TTP Tracker 26'!$B$2="MONTHLY TOTAL",$A368,$B368)</f>
        <v>0</v>
      </c>
      <c r="D368" s="181">
        <v>46241.0</v>
      </c>
      <c r="E368" s="180" t="s">
        <v>208</v>
      </c>
      <c r="F368" s="180">
        <f t="shared" si="7"/>
        <v>0</v>
      </c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  <c r="AE368" s="177"/>
      <c r="AF368" s="177"/>
      <c r="AG368" s="177"/>
      <c r="AH368" s="177"/>
      <c r="AI368" s="177"/>
    </row>
    <row r="369">
      <c r="A369" s="179">
        <f>IF(and(D369&gt;='TTP Tracker 26'!$C$3,D369&lt;'TTP Tracker 26'!$C$4),1,0)</f>
        <v>0</v>
      </c>
      <c r="B369" s="180">
        <f>if(and(D369&gt;TODAY(),D369&lt;'TTP Tracker 26'!$C$4),1,0)</f>
        <v>0</v>
      </c>
      <c r="C369" s="180">
        <f>if('TTP Tracker 26'!$B$2="MONTHLY TOTAL",$A369,$B369)</f>
        <v>0</v>
      </c>
      <c r="D369" s="181">
        <v>46242.0</v>
      </c>
      <c r="E369" s="180" t="s">
        <v>209</v>
      </c>
      <c r="F369" s="180">
        <f t="shared" si="7"/>
        <v>0</v>
      </c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  <c r="AE369" s="177"/>
      <c r="AF369" s="177"/>
      <c r="AG369" s="177"/>
      <c r="AH369" s="177"/>
      <c r="AI369" s="177"/>
    </row>
    <row r="370">
      <c r="A370" s="179">
        <f>IF(and(D370&gt;='TTP Tracker 26'!$C$3,D370&lt;'TTP Tracker 26'!$C$4),1,0)</f>
        <v>0</v>
      </c>
      <c r="B370" s="180">
        <f>if(and(D370&gt;TODAY(),D370&lt;'TTP Tracker 26'!$C$4),1,0)</f>
        <v>0</v>
      </c>
      <c r="C370" s="180">
        <f>if('TTP Tracker 26'!$B$2="MONTHLY TOTAL",$A370,$B370)</f>
        <v>0</v>
      </c>
      <c r="D370" s="181">
        <v>46243.0</v>
      </c>
      <c r="E370" s="180" t="s">
        <v>210</v>
      </c>
      <c r="F370" s="180">
        <f t="shared" si="7"/>
        <v>0</v>
      </c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</row>
    <row r="371">
      <c r="A371" s="179">
        <f>IF(and(D371&gt;='TTP Tracker 26'!$C$3,D371&lt;'TTP Tracker 26'!$C$4),1,0)</f>
        <v>0</v>
      </c>
      <c r="B371" s="180">
        <f>if(and(D371&gt;TODAY(),D371&lt;'TTP Tracker 26'!$C$4),1,0)</f>
        <v>0</v>
      </c>
      <c r="C371" s="180">
        <f>if('TTP Tracker 26'!$B$2="MONTHLY TOTAL",$A371,$B371)</f>
        <v>0</v>
      </c>
      <c r="D371" s="181">
        <v>46244.0</v>
      </c>
      <c r="E371" s="180" t="s">
        <v>211</v>
      </c>
      <c r="F371" s="180">
        <f t="shared" si="7"/>
        <v>0</v>
      </c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7"/>
      <c r="AD371" s="177"/>
      <c r="AE371" s="177"/>
      <c r="AF371" s="177"/>
      <c r="AG371" s="177"/>
      <c r="AH371" s="177"/>
      <c r="AI371" s="177"/>
    </row>
    <row r="372">
      <c r="A372" s="179">
        <f>IF(and(D372&gt;='TTP Tracker 26'!$C$3,D372&lt;'TTP Tracker 26'!$C$4),1,0)</f>
        <v>0</v>
      </c>
      <c r="B372" s="180">
        <f>if(and(D372&gt;TODAY(),D372&lt;'TTP Tracker 26'!$C$4),1,0)</f>
        <v>0</v>
      </c>
      <c r="C372" s="180">
        <f>if('TTP Tracker 26'!$B$2="MONTHLY TOTAL",$A372,$B372)</f>
        <v>0</v>
      </c>
      <c r="D372" s="181">
        <v>46245.0</v>
      </c>
      <c r="E372" s="180" t="s">
        <v>212</v>
      </c>
      <c r="F372" s="180">
        <f t="shared" si="7"/>
        <v>0</v>
      </c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  <c r="AE372" s="177"/>
      <c r="AF372" s="177"/>
      <c r="AG372" s="177"/>
      <c r="AH372" s="177"/>
      <c r="AI372" s="177"/>
    </row>
    <row r="373">
      <c r="A373" s="179">
        <f>IF(and(D373&gt;='TTP Tracker 26'!$C$3,D373&lt;'TTP Tracker 26'!$C$4),1,0)</f>
        <v>0</v>
      </c>
      <c r="B373" s="180">
        <f>if(and(D373&gt;TODAY(),D373&lt;'TTP Tracker 26'!$C$4),1,0)</f>
        <v>0</v>
      </c>
      <c r="C373" s="180">
        <f>if('TTP Tracker 26'!$B$2="MONTHLY TOTAL",$A373,$B373)</f>
        <v>0</v>
      </c>
      <c r="D373" s="181">
        <v>46246.0</v>
      </c>
      <c r="E373" s="180" t="s">
        <v>213</v>
      </c>
      <c r="F373" s="180">
        <f t="shared" si="7"/>
        <v>0</v>
      </c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  <c r="AE373" s="177"/>
      <c r="AF373" s="177"/>
      <c r="AG373" s="177"/>
      <c r="AH373" s="177"/>
      <c r="AI373" s="177"/>
    </row>
    <row r="374">
      <c r="A374" s="179">
        <f>IF(and(D374&gt;='TTP Tracker 26'!$C$3,D374&lt;'TTP Tracker 26'!$C$4),1,0)</f>
        <v>0</v>
      </c>
      <c r="B374" s="180">
        <f>if(and(D374&gt;TODAY(),D374&lt;'TTP Tracker 26'!$C$4),1,0)</f>
        <v>0</v>
      </c>
      <c r="C374" s="180">
        <f>if('TTP Tracker 26'!$B$2="MONTHLY TOTAL",$A374,$B374)</f>
        <v>0</v>
      </c>
      <c r="D374" s="181">
        <v>46247.0</v>
      </c>
      <c r="E374" s="180" t="s">
        <v>207</v>
      </c>
      <c r="F374" s="180">
        <f t="shared" si="7"/>
        <v>0</v>
      </c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  <c r="AE374" s="177"/>
      <c r="AF374" s="177"/>
      <c r="AG374" s="177"/>
      <c r="AH374" s="177"/>
      <c r="AI374" s="177"/>
    </row>
    <row r="375">
      <c r="A375" s="179">
        <f>IF(and(D375&gt;='TTP Tracker 26'!$C$3,D375&lt;'TTP Tracker 26'!$C$4),1,0)</f>
        <v>0</v>
      </c>
      <c r="B375" s="180">
        <f>if(and(D375&gt;TODAY(),D375&lt;'TTP Tracker 26'!$C$4),1,0)</f>
        <v>0</v>
      </c>
      <c r="C375" s="180">
        <f>if('TTP Tracker 26'!$B$2="MONTHLY TOTAL",$A375,$B375)</f>
        <v>0</v>
      </c>
      <c r="D375" s="181">
        <v>46248.0</v>
      </c>
      <c r="E375" s="180" t="s">
        <v>208</v>
      </c>
      <c r="F375" s="180">
        <f t="shared" si="7"/>
        <v>0</v>
      </c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  <c r="AC375" s="177"/>
      <c r="AD375" s="177"/>
      <c r="AE375" s="177"/>
      <c r="AF375" s="177"/>
      <c r="AG375" s="177"/>
      <c r="AH375" s="177"/>
      <c r="AI375" s="177"/>
    </row>
    <row r="376">
      <c r="A376" s="179">
        <f>IF(and(D376&gt;='TTP Tracker 26'!$C$3,D376&lt;'TTP Tracker 26'!$C$4),1,0)</f>
        <v>0</v>
      </c>
      <c r="B376" s="180">
        <f>if(and(D376&gt;TODAY(),D376&lt;'TTP Tracker 26'!$C$4),1,0)</f>
        <v>0</v>
      </c>
      <c r="C376" s="180">
        <f>if('TTP Tracker 26'!$B$2="MONTHLY TOTAL",$A376,$B376)</f>
        <v>0</v>
      </c>
      <c r="D376" s="181">
        <v>46249.0</v>
      </c>
      <c r="E376" s="180" t="s">
        <v>209</v>
      </c>
      <c r="F376" s="180">
        <f t="shared" si="7"/>
        <v>0</v>
      </c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  <c r="AE376" s="177"/>
      <c r="AF376" s="177"/>
      <c r="AG376" s="177"/>
      <c r="AH376" s="177"/>
      <c r="AI376" s="177"/>
    </row>
    <row r="377">
      <c r="A377" s="177"/>
      <c r="B377" s="177"/>
      <c r="C377" s="177"/>
      <c r="D377" s="181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  <c r="AC377" s="177"/>
      <c r="AD377" s="177"/>
      <c r="AE377" s="177"/>
      <c r="AF377" s="177"/>
      <c r="AG377" s="177"/>
      <c r="AH377" s="177"/>
      <c r="AI377" s="177"/>
    </row>
    <row r="378">
      <c r="A378" s="177"/>
      <c r="B378" s="177"/>
      <c r="C378" s="177"/>
      <c r="D378" s="181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  <c r="AE378" s="177"/>
      <c r="AF378" s="177"/>
      <c r="AG378" s="177"/>
      <c r="AH378" s="177"/>
      <c r="AI378" s="177"/>
    </row>
    <row r="379">
      <c r="A379" s="177"/>
      <c r="B379" s="177"/>
      <c r="C379" s="177"/>
      <c r="D379" s="181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177"/>
      <c r="AE379" s="177"/>
      <c r="AF379" s="177"/>
      <c r="AG379" s="177"/>
      <c r="AH379" s="177"/>
      <c r="AI379" s="177"/>
    </row>
    <row r="380">
      <c r="A380" s="177"/>
      <c r="B380" s="177"/>
      <c r="C380" s="177"/>
      <c r="D380" s="181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  <c r="AE380" s="177"/>
      <c r="AF380" s="177"/>
      <c r="AG380" s="177"/>
      <c r="AH380" s="177"/>
      <c r="AI380" s="177"/>
    </row>
    <row r="381">
      <c r="A381" s="177"/>
      <c r="B381" s="177"/>
      <c r="C381" s="177"/>
      <c r="D381" s="181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  <c r="AE381" s="177"/>
      <c r="AF381" s="177"/>
      <c r="AG381" s="177"/>
      <c r="AH381" s="177"/>
      <c r="AI381" s="177"/>
    </row>
    <row r="382">
      <c r="A382" s="177"/>
      <c r="B382" s="177"/>
      <c r="C382" s="177"/>
      <c r="D382" s="181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  <c r="AE382" s="177"/>
      <c r="AF382" s="177"/>
      <c r="AG382" s="177"/>
      <c r="AH382" s="177"/>
      <c r="AI382" s="177"/>
    </row>
    <row r="383">
      <c r="A383" s="177"/>
      <c r="B383" s="177"/>
      <c r="C383" s="177"/>
      <c r="D383" s="181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  <c r="AE383" s="177"/>
      <c r="AF383" s="177"/>
      <c r="AG383" s="177"/>
      <c r="AH383" s="177"/>
      <c r="AI383" s="177"/>
    </row>
    <row r="384">
      <c r="A384" s="177"/>
      <c r="B384" s="177"/>
      <c r="C384" s="177"/>
      <c r="D384" s="181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  <c r="AE384" s="177"/>
      <c r="AF384" s="177"/>
      <c r="AG384" s="177"/>
      <c r="AH384" s="177"/>
      <c r="AI384" s="177"/>
    </row>
    <row r="385">
      <c r="A385" s="177"/>
      <c r="B385" s="177"/>
      <c r="C385" s="177"/>
      <c r="D385" s="181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177"/>
      <c r="AE385" s="177"/>
      <c r="AF385" s="177"/>
      <c r="AG385" s="177"/>
      <c r="AH385" s="177"/>
      <c r="AI385" s="177"/>
    </row>
    <row r="386">
      <c r="A386" s="177"/>
      <c r="B386" s="177"/>
      <c r="C386" s="177"/>
      <c r="D386" s="181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  <c r="AE386" s="177"/>
      <c r="AF386" s="177"/>
      <c r="AG386" s="177"/>
      <c r="AH386" s="177"/>
      <c r="AI386" s="177"/>
    </row>
    <row r="387">
      <c r="A387" s="177"/>
      <c r="B387" s="177"/>
      <c r="C387" s="177"/>
      <c r="D387" s="181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177"/>
      <c r="AE387" s="177"/>
      <c r="AF387" s="177"/>
      <c r="AG387" s="177"/>
      <c r="AH387" s="177"/>
      <c r="AI387" s="177"/>
    </row>
    <row r="388">
      <c r="A388" s="177"/>
      <c r="B388" s="177"/>
      <c r="C388" s="177"/>
      <c r="D388" s="181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  <c r="AE388" s="177"/>
      <c r="AF388" s="177"/>
      <c r="AG388" s="177"/>
      <c r="AH388" s="177"/>
      <c r="AI388" s="177"/>
    </row>
    <row r="389">
      <c r="A389" s="177"/>
      <c r="B389" s="177"/>
      <c r="C389" s="177"/>
      <c r="D389" s="181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177"/>
      <c r="AE389" s="177"/>
      <c r="AF389" s="177"/>
      <c r="AG389" s="177"/>
      <c r="AH389" s="177"/>
      <c r="AI389" s="177"/>
    </row>
    <row r="390">
      <c r="A390" s="177"/>
      <c r="B390" s="177"/>
      <c r="C390" s="177"/>
      <c r="D390" s="181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  <c r="AE390" s="177"/>
      <c r="AF390" s="177"/>
      <c r="AG390" s="177"/>
      <c r="AH390" s="177"/>
      <c r="AI390" s="177"/>
    </row>
    <row r="391">
      <c r="A391" s="177"/>
      <c r="B391" s="177"/>
      <c r="C391" s="177"/>
      <c r="D391" s="181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7"/>
      <c r="AG391" s="177"/>
      <c r="AH391" s="177"/>
      <c r="AI391" s="177"/>
    </row>
    <row r="392">
      <c r="A392" s="177"/>
      <c r="B392" s="177"/>
      <c r="C392" s="177"/>
      <c r="D392" s="181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  <c r="AE392" s="177"/>
      <c r="AF392" s="177"/>
      <c r="AG392" s="177"/>
      <c r="AH392" s="177"/>
      <c r="AI392" s="177"/>
    </row>
    <row r="393">
      <c r="A393" s="177"/>
      <c r="B393" s="177"/>
      <c r="C393" s="177"/>
      <c r="D393" s="181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  <c r="AE393" s="177"/>
      <c r="AF393" s="177"/>
      <c r="AG393" s="177"/>
      <c r="AH393" s="177"/>
      <c r="AI393" s="177"/>
    </row>
    <row r="394">
      <c r="A394" s="177"/>
      <c r="B394" s="177"/>
      <c r="C394" s="177"/>
      <c r="D394" s="181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</row>
    <row r="395">
      <c r="A395" s="177"/>
      <c r="B395" s="177"/>
      <c r="C395" s="177"/>
      <c r="D395" s="181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  <c r="AE395" s="177"/>
      <c r="AF395" s="177"/>
      <c r="AG395" s="177"/>
      <c r="AH395" s="177"/>
      <c r="AI395" s="177"/>
    </row>
    <row r="396">
      <c r="A396" s="177"/>
      <c r="B396" s="177"/>
      <c r="C396" s="177"/>
      <c r="D396" s="181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  <c r="AE396" s="177"/>
      <c r="AF396" s="177"/>
      <c r="AG396" s="177"/>
      <c r="AH396" s="177"/>
      <c r="AI396" s="177"/>
    </row>
    <row r="397">
      <c r="A397" s="177"/>
      <c r="B397" s="177"/>
      <c r="C397" s="177"/>
      <c r="D397" s="181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  <c r="AE397" s="177"/>
      <c r="AF397" s="177"/>
      <c r="AG397" s="177"/>
      <c r="AH397" s="177"/>
      <c r="AI397" s="177"/>
    </row>
    <row r="398">
      <c r="A398" s="177"/>
      <c r="B398" s="177"/>
      <c r="C398" s="177"/>
      <c r="D398" s="181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  <c r="AE398" s="177"/>
      <c r="AF398" s="177"/>
      <c r="AG398" s="177"/>
      <c r="AH398" s="177"/>
      <c r="AI398" s="177"/>
    </row>
    <row r="399">
      <c r="A399" s="177"/>
      <c r="B399" s="177"/>
      <c r="C399" s="177"/>
      <c r="D399" s="181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  <c r="AE399" s="177"/>
      <c r="AF399" s="177"/>
      <c r="AG399" s="177"/>
      <c r="AH399" s="177"/>
      <c r="AI399" s="177"/>
    </row>
    <row r="400">
      <c r="A400" s="177"/>
      <c r="B400" s="177"/>
      <c r="C400" s="177"/>
      <c r="D400" s="181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  <c r="AE400" s="177"/>
      <c r="AF400" s="177"/>
      <c r="AG400" s="177"/>
      <c r="AH400" s="177"/>
      <c r="AI400" s="177"/>
    </row>
    <row r="401">
      <c r="A401" s="177"/>
      <c r="B401" s="177"/>
      <c r="C401" s="177"/>
      <c r="D401" s="181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  <c r="AE401" s="177"/>
      <c r="AF401" s="177"/>
      <c r="AG401" s="177"/>
      <c r="AH401" s="177"/>
      <c r="AI401" s="177"/>
    </row>
    <row r="402">
      <c r="A402" s="177"/>
      <c r="B402" s="177"/>
      <c r="C402" s="177"/>
      <c r="D402" s="181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  <c r="AE402" s="177"/>
      <c r="AF402" s="177"/>
      <c r="AG402" s="177"/>
      <c r="AH402" s="177"/>
      <c r="AI402" s="177"/>
    </row>
    <row r="403">
      <c r="A403" s="177"/>
      <c r="B403" s="177"/>
      <c r="C403" s="177"/>
      <c r="D403" s="181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  <c r="AE403" s="177"/>
      <c r="AF403" s="177"/>
      <c r="AG403" s="177"/>
      <c r="AH403" s="177"/>
      <c r="AI403" s="177"/>
    </row>
    <row r="404">
      <c r="A404" s="177"/>
      <c r="B404" s="177"/>
      <c r="C404" s="177"/>
      <c r="D404" s="181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  <c r="AE404" s="177"/>
      <c r="AF404" s="177"/>
      <c r="AG404" s="177"/>
      <c r="AH404" s="177"/>
      <c r="AI404" s="177"/>
    </row>
    <row r="405">
      <c r="A405" s="177"/>
      <c r="B405" s="177"/>
      <c r="C405" s="177"/>
      <c r="D405" s="181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  <c r="AE405" s="177"/>
      <c r="AF405" s="177"/>
      <c r="AG405" s="177"/>
      <c r="AH405" s="177"/>
      <c r="AI405" s="177"/>
    </row>
    <row r="406">
      <c r="A406" s="177"/>
      <c r="B406" s="177"/>
      <c r="C406" s="177"/>
      <c r="D406" s="181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7"/>
      <c r="AG406" s="177"/>
      <c r="AH406" s="177"/>
      <c r="AI406" s="177"/>
    </row>
    <row r="407">
      <c r="A407" s="177"/>
      <c r="B407" s="177"/>
      <c r="C407" s="177"/>
      <c r="D407" s="181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  <c r="AE407" s="177"/>
      <c r="AF407" s="177"/>
      <c r="AG407" s="177"/>
      <c r="AH407" s="177"/>
      <c r="AI407" s="177"/>
    </row>
    <row r="408">
      <c r="A408" s="177"/>
      <c r="B408" s="177"/>
      <c r="C408" s="177"/>
      <c r="D408" s="181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  <c r="AE408" s="177"/>
      <c r="AF408" s="177"/>
      <c r="AG408" s="177"/>
      <c r="AH408" s="177"/>
      <c r="AI408" s="177"/>
    </row>
    <row r="409">
      <c r="A409" s="177"/>
      <c r="B409" s="177"/>
      <c r="C409" s="177"/>
      <c r="D409" s="181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  <c r="AE409" s="177"/>
      <c r="AF409" s="177"/>
      <c r="AG409" s="177"/>
      <c r="AH409" s="177"/>
      <c r="AI409" s="177"/>
    </row>
    <row r="410">
      <c r="A410" s="177"/>
      <c r="B410" s="177"/>
      <c r="C410" s="177"/>
      <c r="D410" s="181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  <c r="AE410" s="177"/>
      <c r="AF410" s="177"/>
      <c r="AG410" s="177"/>
      <c r="AH410" s="177"/>
      <c r="AI410" s="177"/>
    </row>
    <row r="411">
      <c r="A411" s="177"/>
      <c r="B411" s="177"/>
      <c r="C411" s="177"/>
      <c r="D411" s="181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  <c r="AE411" s="177"/>
      <c r="AF411" s="177"/>
      <c r="AG411" s="177"/>
      <c r="AH411" s="177"/>
      <c r="AI411" s="177"/>
    </row>
    <row r="412">
      <c r="A412" s="177"/>
      <c r="B412" s="177"/>
      <c r="C412" s="177"/>
      <c r="D412" s="181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  <c r="AE412" s="177"/>
      <c r="AF412" s="177"/>
      <c r="AG412" s="177"/>
      <c r="AH412" s="177"/>
      <c r="AI412" s="177"/>
    </row>
    <row r="413">
      <c r="A413" s="177"/>
      <c r="B413" s="177"/>
      <c r="C413" s="177"/>
      <c r="D413" s="181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  <c r="AC413" s="177"/>
      <c r="AD413" s="177"/>
      <c r="AE413" s="177"/>
      <c r="AF413" s="177"/>
      <c r="AG413" s="177"/>
      <c r="AH413" s="177"/>
      <c r="AI413" s="177"/>
    </row>
    <row r="414">
      <c r="A414" s="177"/>
      <c r="B414" s="177"/>
      <c r="C414" s="177"/>
      <c r="D414" s="181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  <c r="AE414" s="177"/>
      <c r="AF414" s="177"/>
      <c r="AG414" s="177"/>
      <c r="AH414" s="177"/>
      <c r="AI414" s="177"/>
    </row>
    <row r="415">
      <c r="A415" s="177"/>
      <c r="B415" s="177"/>
      <c r="C415" s="177"/>
      <c r="D415" s="181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  <c r="AC415" s="177"/>
      <c r="AD415" s="177"/>
      <c r="AE415" s="177"/>
      <c r="AF415" s="177"/>
      <c r="AG415" s="177"/>
      <c r="AH415" s="177"/>
      <c r="AI415" s="177"/>
    </row>
    <row r="416">
      <c r="A416" s="177"/>
      <c r="B416" s="177"/>
      <c r="C416" s="177"/>
      <c r="D416" s="181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  <c r="AI416" s="177"/>
    </row>
    <row r="417">
      <c r="A417" s="177"/>
      <c r="B417" s="177"/>
      <c r="C417" s="177"/>
      <c r="D417" s="181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  <c r="AE417" s="177"/>
      <c r="AF417" s="177"/>
      <c r="AG417" s="177"/>
      <c r="AH417" s="177"/>
      <c r="AI417" s="177"/>
    </row>
    <row r="418">
      <c r="A418" s="177"/>
      <c r="B418" s="177"/>
      <c r="C418" s="177"/>
      <c r="D418" s="181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  <c r="AE418" s="177"/>
      <c r="AF418" s="177"/>
      <c r="AG418" s="177"/>
      <c r="AH418" s="177"/>
      <c r="AI418" s="177"/>
    </row>
    <row r="419">
      <c r="A419" s="177"/>
      <c r="B419" s="177"/>
      <c r="C419" s="177"/>
      <c r="D419" s="181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77"/>
      <c r="AD419" s="177"/>
      <c r="AE419" s="177"/>
      <c r="AF419" s="177"/>
      <c r="AG419" s="177"/>
      <c r="AH419" s="177"/>
      <c r="AI419" s="177"/>
    </row>
    <row r="420">
      <c r="A420" s="177"/>
      <c r="B420" s="177"/>
      <c r="C420" s="177"/>
      <c r="D420" s="181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  <c r="AG420" s="177"/>
      <c r="AH420" s="177"/>
      <c r="AI420" s="177"/>
    </row>
    <row r="421">
      <c r="A421" s="177"/>
      <c r="B421" s="177"/>
      <c r="C421" s="177"/>
      <c r="D421" s="181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  <c r="AG421" s="177"/>
      <c r="AH421" s="177"/>
      <c r="AI421" s="177"/>
    </row>
    <row r="422">
      <c r="A422" s="177"/>
      <c r="B422" s="177"/>
      <c r="C422" s="177"/>
      <c r="D422" s="181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  <c r="AG422" s="177"/>
      <c r="AH422" s="177"/>
      <c r="AI422" s="177"/>
    </row>
    <row r="423">
      <c r="A423" s="177"/>
      <c r="B423" s="177"/>
      <c r="C423" s="177"/>
      <c r="D423" s="181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  <c r="AI423" s="177"/>
    </row>
    <row r="424">
      <c r="A424" s="177"/>
      <c r="B424" s="177"/>
      <c r="C424" s="177"/>
      <c r="D424" s="181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  <c r="AE424" s="177"/>
      <c r="AF424" s="177"/>
      <c r="AG424" s="177"/>
      <c r="AH424" s="177"/>
      <c r="AI424" s="177"/>
    </row>
    <row r="425">
      <c r="A425" s="177"/>
      <c r="B425" s="177"/>
      <c r="C425" s="177"/>
      <c r="D425" s="181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  <c r="AE425" s="177"/>
      <c r="AF425" s="177"/>
      <c r="AG425" s="177"/>
      <c r="AH425" s="177"/>
      <c r="AI425" s="177"/>
    </row>
    <row r="426">
      <c r="A426" s="177"/>
      <c r="B426" s="177"/>
      <c r="C426" s="177"/>
      <c r="D426" s="181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  <c r="AE426" s="177"/>
      <c r="AF426" s="177"/>
      <c r="AG426" s="177"/>
      <c r="AH426" s="177"/>
      <c r="AI426" s="177"/>
    </row>
    <row r="427">
      <c r="A427" s="177"/>
      <c r="B427" s="177"/>
      <c r="C427" s="177"/>
      <c r="D427" s="181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7"/>
      <c r="AD427" s="177"/>
      <c r="AE427" s="177"/>
      <c r="AF427" s="177"/>
      <c r="AG427" s="177"/>
      <c r="AH427" s="177"/>
      <c r="AI427" s="177"/>
    </row>
    <row r="428">
      <c r="A428" s="177"/>
      <c r="B428" s="177"/>
      <c r="C428" s="177"/>
      <c r="D428" s="181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  <c r="AE428" s="177"/>
      <c r="AF428" s="177"/>
      <c r="AG428" s="177"/>
      <c r="AH428" s="177"/>
      <c r="AI428" s="177"/>
    </row>
    <row r="429">
      <c r="A429" s="177"/>
      <c r="B429" s="177"/>
      <c r="C429" s="177"/>
      <c r="D429" s="181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  <c r="AE429" s="177"/>
      <c r="AF429" s="177"/>
      <c r="AG429" s="177"/>
      <c r="AH429" s="177"/>
      <c r="AI429" s="177"/>
    </row>
    <row r="430">
      <c r="A430" s="177"/>
      <c r="B430" s="177"/>
      <c r="C430" s="177"/>
      <c r="D430" s="181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  <c r="AE430" s="177"/>
      <c r="AF430" s="177"/>
      <c r="AG430" s="177"/>
      <c r="AH430" s="177"/>
      <c r="AI430" s="177"/>
    </row>
    <row r="431">
      <c r="A431" s="177"/>
      <c r="B431" s="177"/>
      <c r="C431" s="177"/>
      <c r="D431" s="181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77"/>
      <c r="AD431" s="177"/>
      <c r="AE431" s="177"/>
      <c r="AF431" s="177"/>
      <c r="AG431" s="177"/>
      <c r="AH431" s="177"/>
      <c r="AI431" s="177"/>
    </row>
    <row r="432">
      <c r="A432" s="177"/>
      <c r="B432" s="177"/>
      <c r="C432" s="177"/>
      <c r="D432" s="181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  <c r="AE432" s="177"/>
      <c r="AF432" s="177"/>
      <c r="AG432" s="177"/>
      <c r="AH432" s="177"/>
      <c r="AI432" s="177"/>
    </row>
    <row r="433">
      <c r="A433" s="177"/>
      <c r="B433" s="177"/>
      <c r="C433" s="177"/>
      <c r="D433" s="181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  <c r="AC433" s="177"/>
      <c r="AD433" s="177"/>
      <c r="AE433" s="177"/>
      <c r="AF433" s="177"/>
      <c r="AG433" s="177"/>
      <c r="AH433" s="177"/>
      <c r="AI433" s="177"/>
    </row>
    <row r="434">
      <c r="A434" s="177"/>
      <c r="B434" s="177"/>
      <c r="C434" s="177"/>
      <c r="D434" s="181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  <c r="AE434" s="177"/>
      <c r="AF434" s="177"/>
      <c r="AG434" s="177"/>
      <c r="AH434" s="177"/>
      <c r="AI434" s="177"/>
    </row>
    <row r="435">
      <c r="A435" s="177"/>
      <c r="B435" s="177"/>
      <c r="C435" s="177"/>
      <c r="D435" s="181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  <c r="AG435" s="177"/>
      <c r="AH435" s="177"/>
      <c r="AI435" s="177"/>
    </row>
    <row r="436">
      <c r="A436" s="177"/>
      <c r="B436" s="177"/>
      <c r="C436" s="177"/>
      <c r="D436" s="181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  <c r="AG436" s="177"/>
      <c r="AH436" s="177"/>
      <c r="AI436" s="177"/>
    </row>
    <row r="437">
      <c r="A437" s="177"/>
      <c r="B437" s="177"/>
      <c r="C437" s="177"/>
      <c r="D437" s="181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  <c r="AG437" s="177"/>
      <c r="AH437" s="177"/>
      <c r="AI437" s="177"/>
    </row>
    <row r="438">
      <c r="A438" s="177"/>
      <c r="B438" s="177"/>
      <c r="C438" s="177"/>
      <c r="D438" s="181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  <c r="AG438" s="177"/>
      <c r="AH438" s="177"/>
      <c r="AI438" s="177"/>
    </row>
    <row r="439">
      <c r="A439" s="177"/>
      <c r="B439" s="177"/>
      <c r="C439" s="177"/>
      <c r="D439" s="181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  <c r="AC439" s="177"/>
      <c r="AD439" s="177"/>
      <c r="AE439" s="177"/>
      <c r="AF439" s="177"/>
      <c r="AG439" s="177"/>
      <c r="AH439" s="177"/>
      <c r="AI439" s="177"/>
    </row>
    <row r="440">
      <c r="A440" s="177"/>
      <c r="B440" s="177"/>
      <c r="C440" s="177"/>
      <c r="D440" s="181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  <c r="AE440" s="177"/>
      <c r="AF440" s="177"/>
      <c r="AG440" s="177"/>
      <c r="AH440" s="177"/>
      <c r="AI440" s="177"/>
    </row>
    <row r="441">
      <c r="A441" s="177"/>
      <c r="B441" s="177"/>
      <c r="C441" s="177"/>
      <c r="D441" s="181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  <c r="AG441" s="177"/>
      <c r="AH441" s="177"/>
      <c r="AI441" s="177"/>
    </row>
    <row r="442">
      <c r="A442" s="177"/>
      <c r="B442" s="177"/>
      <c r="C442" s="177"/>
      <c r="D442" s="181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  <c r="AG442" s="177"/>
      <c r="AH442" s="177"/>
      <c r="AI442" s="177"/>
    </row>
    <row r="443">
      <c r="A443" s="177"/>
      <c r="B443" s="177"/>
      <c r="C443" s="177"/>
      <c r="D443" s="181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  <c r="AG443" s="177"/>
      <c r="AH443" s="177"/>
      <c r="AI443" s="177"/>
    </row>
    <row r="444">
      <c r="A444" s="177"/>
      <c r="B444" s="177"/>
      <c r="C444" s="177"/>
      <c r="D444" s="181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  <c r="AG444" s="177"/>
      <c r="AH444" s="177"/>
      <c r="AI444" s="177"/>
    </row>
    <row r="445">
      <c r="A445" s="177"/>
      <c r="B445" s="177"/>
      <c r="C445" s="177"/>
      <c r="D445" s="181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  <c r="AG445" s="177"/>
      <c r="AH445" s="177"/>
      <c r="AI445" s="177"/>
    </row>
    <row r="446">
      <c r="A446" s="177"/>
      <c r="B446" s="177"/>
      <c r="C446" s="177"/>
      <c r="D446" s="181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  <c r="AG446" s="177"/>
      <c r="AH446" s="177"/>
      <c r="AI446" s="177"/>
    </row>
    <row r="447">
      <c r="A447" s="177"/>
      <c r="B447" s="177"/>
      <c r="C447" s="177"/>
      <c r="D447" s="181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  <c r="AG447" s="177"/>
      <c r="AH447" s="177"/>
      <c r="AI447" s="177"/>
    </row>
    <row r="448">
      <c r="A448" s="177"/>
      <c r="B448" s="177"/>
      <c r="C448" s="177"/>
      <c r="D448" s="181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  <c r="AG448" s="177"/>
      <c r="AH448" s="177"/>
      <c r="AI448" s="177"/>
    </row>
    <row r="449">
      <c r="A449" s="177"/>
      <c r="B449" s="177"/>
      <c r="C449" s="177"/>
      <c r="D449" s="181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  <c r="AG449" s="177"/>
      <c r="AH449" s="177"/>
      <c r="AI449" s="177"/>
    </row>
    <row r="450">
      <c r="A450" s="177"/>
      <c r="B450" s="177"/>
      <c r="C450" s="177"/>
      <c r="D450" s="181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  <c r="AG450" s="177"/>
      <c r="AH450" s="177"/>
      <c r="AI450" s="177"/>
    </row>
    <row r="451">
      <c r="A451" s="177"/>
      <c r="B451" s="177"/>
      <c r="C451" s="177"/>
      <c r="D451" s="181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  <c r="AG451" s="177"/>
      <c r="AH451" s="177"/>
      <c r="AI451" s="177"/>
    </row>
    <row r="452">
      <c r="A452" s="177"/>
      <c r="B452" s="177"/>
      <c r="C452" s="177"/>
      <c r="D452" s="181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  <c r="AG452" s="177"/>
      <c r="AH452" s="177"/>
      <c r="AI452" s="177"/>
    </row>
    <row r="453">
      <c r="A453" s="177"/>
      <c r="B453" s="177"/>
      <c r="C453" s="177"/>
      <c r="D453" s="181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  <c r="AG453" s="177"/>
      <c r="AH453" s="177"/>
      <c r="AI453" s="177"/>
    </row>
    <row r="454">
      <c r="A454" s="177"/>
      <c r="B454" s="177"/>
      <c r="C454" s="177"/>
      <c r="D454" s="181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  <c r="AG454" s="177"/>
      <c r="AH454" s="177"/>
      <c r="AI454" s="177"/>
    </row>
    <row r="455">
      <c r="A455" s="177"/>
      <c r="B455" s="177"/>
      <c r="C455" s="177"/>
      <c r="D455" s="181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  <c r="AG455" s="177"/>
      <c r="AH455" s="177"/>
      <c r="AI455" s="177"/>
    </row>
    <row r="456">
      <c r="A456" s="177"/>
      <c r="B456" s="177"/>
      <c r="C456" s="177"/>
      <c r="D456" s="181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  <c r="AG456" s="177"/>
      <c r="AH456" s="177"/>
      <c r="AI456" s="177"/>
    </row>
    <row r="457">
      <c r="A457" s="177"/>
      <c r="B457" s="177"/>
      <c r="C457" s="177"/>
      <c r="D457" s="181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  <c r="AG457" s="177"/>
      <c r="AH457" s="177"/>
      <c r="AI457" s="177"/>
    </row>
    <row r="458">
      <c r="A458" s="177"/>
      <c r="B458" s="177"/>
      <c r="C458" s="177"/>
      <c r="D458" s="181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  <c r="AG458" s="177"/>
      <c r="AH458" s="177"/>
      <c r="AI458" s="177"/>
    </row>
    <row r="459">
      <c r="A459" s="177"/>
      <c r="B459" s="177"/>
      <c r="C459" s="177"/>
      <c r="D459" s="181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  <c r="AG459" s="177"/>
      <c r="AH459" s="177"/>
      <c r="AI459" s="177"/>
    </row>
    <row r="460">
      <c r="A460" s="177"/>
      <c r="B460" s="177"/>
      <c r="C460" s="177"/>
      <c r="D460" s="181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  <c r="AI460" s="177"/>
    </row>
    <row r="461">
      <c r="A461" s="177"/>
      <c r="B461" s="177"/>
      <c r="C461" s="177"/>
      <c r="D461" s="181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  <c r="AG461" s="177"/>
      <c r="AH461" s="177"/>
      <c r="AI461" s="177"/>
    </row>
    <row r="462">
      <c r="A462" s="177"/>
      <c r="B462" s="177"/>
      <c r="C462" s="177"/>
      <c r="D462" s="181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  <c r="AG462" s="177"/>
      <c r="AH462" s="177"/>
      <c r="AI462" s="177"/>
    </row>
    <row r="463">
      <c r="A463" s="177"/>
      <c r="B463" s="177"/>
      <c r="C463" s="177"/>
      <c r="D463" s="181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  <c r="AG463" s="177"/>
      <c r="AH463" s="177"/>
      <c r="AI463" s="177"/>
    </row>
    <row r="464">
      <c r="A464" s="177"/>
      <c r="B464" s="177"/>
      <c r="C464" s="177"/>
      <c r="D464" s="181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  <c r="AE464" s="177"/>
      <c r="AF464" s="177"/>
      <c r="AG464" s="177"/>
      <c r="AH464" s="177"/>
      <c r="AI464" s="177"/>
    </row>
    <row r="465">
      <c r="A465" s="177"/>
      <c r="B465" s="177"/>
      <c r="C465" s="177"/>
      <c r="D465" s="181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  <c r="AG465" s="177"/>
      <c r="AH465" s="177"/>
      <c r="AI465" s="177"/>
    </row>
    <row r="466">
      <c r="A466" s="177"/>
      <c r="B466" s="177"/>
      <c r="C466" s="177"/>
      <c r="D466" s="181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  <c r="AI466" s="177"/>
    </row>
    <row r="467">
      <c r="A467" s="177"/>
      <c r="B467" s="177"/>
      <c r="C467" s="177"/>
      <c r="D467" s="181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  <c r="AG467" s="177"/>
      <c r="AH467" s="177"/>
      <c r="AI467" s="177"/>
    </row>
    <row r="468">
      <c r="A468" s="177"/>
      <c r="B468" s="177"/>
      <c r="C468" s="177"/>
      <c r="D468" s="181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  <c r="AG468" s="177"/>
      <c r="AH468" s="177"/>
      <c r="AI468" s="177"/>
    </row>
    <row r="469">
      <c r="A469" s="177"/>
      <c r="B469" s="177"/>
      <c r="C469" s="177"/>
      <c r="D469" s="181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  <c r="AC469" s="177"/>
      <c r="AD469" s="177"/>
      <c r="AE469" s="177"/>
      <c r="AF469" s="177"/>
      <c r="AG469" s="177"/>
      <c r="AH469" s="177"/>
      <c r="AI469" s="177"/>
    </row>
    <row r="470">
      <c r="A470" s="177"/>
      <c r="B470" s="177"/>
      <c r="C470" s="177"/>
      <c r="D470" s="181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  <c r="AE470" s="177"/>
      <c r="AF470" s="177"/>
      <c r="AG470" s="177"/>
      <c r="AH470" s="177"/>
      <c r="AI470" s="177"/>
    </row>
    <row r="471">
      <c r="A471" s="177"/>
      <c r="B471" s="177"/>
      <c r="C471" s="177"/>
      <c r="D471" s="181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  <c r="AE471" s="177"/>
      <c r="AF471" s="177"/>
      <c r="AG471" s="177"/>
      <c r="AH471" s="177"/>
      <c r="AI471" s="177"/>
    </row>
    <row r="472">
      <c r="A472" s="177"/>
      <c r="B472" s="177"/>
      <c r="C472" s="177"/>
      <c r="D472" s="181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  <c r="AI472" s="177"/>
    </row>
    <row r="473">
      <c r="A473" s="177"/>
      <c r="B473" s="177"/>
      <c r="C473" s="177"/>
      <c r="D473" s="181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  <c r="AE473" s="177"/>
      <c r="AF473" s="177"/>
      <c r="AG473" s="177"/>
      <c r="AH473" s="177"/>
      <c r="AI473" s="177"/>
    </row>
    <row r="474">
      <c r="A474" s="177"/>
      <c r="B474" s="177"/>
      <c r="C474" s="177"/>
      <c r="D474" s="181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  <c r="AE474" s="177"/>
      <c r="AF474" s="177"/>
      <c r="AG474" s="177"/>
      <c r="AH474" s="177"/>
      <c r="AI474" s="177"/>
    </row>
    <row r="475">
      <c r="A475" s="177"/>
      <c r="B475" s="177"/>
      <c r="C475" s="177"/>
      <c r="D475" s="181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  <c r="AE475" s="177"/>
      <c r="AF475" s="177"/>
      <c r="AG475" s="177"/>
      <c r="AH475" s="177"/>
      <c r="AI475" s="177"/>
    </row>
    <row r="476">
      <c r="A476" s="177"/>
      <c r="B476" s="177"/>
      <c r="C476" s="177"/>
      <c r="D476" s="181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  <c r="AE476" s="177"/>
      <c r="AF476" s="177"/>
      <c r="AG476" s="177"/>
      <c r="AH476" s="177"/>
      <c r="AI476" s="177"/>
    </row>
    <row r="477">
      <c r="A477" s="177"/>
      <c r="B477" s="177"/>
      <c r="C477" s="177"/>
      <c r="D477" s="181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  <c r="AE477" s="177"/>
      <c r="AF477" s="177"/>
      <c r="AG477" s="177"/>
      <c r="AH477" s="177"/>
      <c r="AI477" s="177"/>
    </row>
    <row r="478">
      <c r="A478" s="177"/>
      <c r="B478" s="177"/>
      <c r="C478" s="177"/>
      <c r="D478" s="181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  <c r="AI478" s="177"/>
    </row>
    <row r="479">
      <c r="A479" s="177"/>
      <c r="B479" s="177"/>
      <c r="C479" s="177"/>
      <c r="D479" s="181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  <c r="AG479" s="177"/>
      <c r="AH479" s="177"/>
      <c r="AI479" s="177"/>
    </row>
    <row r="480">
      <c r="A480" s="177"/>
      <c r="B480" s="177"/>
      <c r="C480" s="177"/>
      <c r="D480" s="181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  <c r="AG480" s="177"/>
      <c r="AH480" s="177"/>
      <c r="AI480" s="177"/>
    </row>
    <row r="481">
      <c r="A481" s="177"/>
      <c r="B481" s="177"/>
      <c r="C481" s="177"/>
      <c r="D481" s="181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  <c r="AC481" s="177"/>
      <c r="AD481" s="177"/>
      <c r="AE481" s="177"/>
      <c r="AF481" s="177"/>
      <c r="AG481" s="177"/>
      <c r="AH481" s="177"/>
      <c r="AI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  <c r="AI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77"/>
      <c r="AD483" s="177"/>
      <c r="AE483" s="177"/>
      <c r="AF483" s="177"/>
      <c r="AG483" s="177"/>
      <c r="AH483" s="177"/>
      <c r="AI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  <c r="AI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  <c r="AC485" s="177"/>
      <c r="AD485" s="177"/>
      <c r="AE485" s="177"/>
      <c r="AF485" s="177"/>
      <c r="AG485" s="177"/>
      <c r="AH485" s="177"/>
      <c r="AI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  <c r="AE486" s="177"/>
      <c r="AF486" s="177"/>
      <c r="AG486" s="177"/>
      <c r="AH486" s="177"/>
      <c r="AI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  <c r="AG487" s="177"/>
      <c r="AH487" s="177"/>
      <c r="AI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  <c r="AG488" s="177"/>
      <c r="AH488" s="177"/>
      <c r="AI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  <c r="AG489" s="177"/>
      <c r="AH489" s="177"/>
      <c r="AI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  <c r="AE490" s="177"/>
      <c r="AF490" s="177"/>
      <c r="AG490" s="177"/>
      <c r="AH490" s="177"/>
      <c r="AI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  <c r="AE491" s="177"/>
      <c r="AF491" s="177"/>
      <c r="AG491" s="177"/>
      <c r="AH491" s="177"/>
      <c r="AI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  <c r="AE492" s="177"/>
      <c r="AF492" s="177"/>
      <c r="AG492" s="177"/>
      <c r="AH492" s="177"/>
      <c r="AI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  <c r="AE493" s="177"/>
      <c r="AF493" s="177"/>
      <c r="AG493" s="177"/>
      <c r="AH493" s="177"/>
      <c r="AI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  <c r="AE494" s="177"/>
      <c r="AF494" s="177"/>
      <c r="AG494" s="177"/>
      <c r="AH494" s="177"/>
      <c r="AI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  <c r="AE495" s="177"/>
      <c r="AF495" s="177"/>
      <c r="AG495" s="177"/>
      <c r="AH495" s="177"/>
      <c r="AI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  <c r="AE496" s="177"/>
      <c r="AF496" s="177"/>
      <c r="AG496" s="177"/>
      <c r="AH496" s="177"/>
      <c r="AI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  <c r="AE497" s="177"/>
      <c r="AF497" s="177"/>
      <c r="AG497" s="177"/>
      <c r="AH497" s="177"/>
      <c r="AI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  <c r="AE498" s="177"/>
      <c r="AF498" s="177"/>
      <c r="AG498" s="177"/>
      <c r="AH498" s="177"/>
      <c r="AI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  <c r="AE499" s="177"/>
      <c r="AF499" s="177"/>
      <c r="AG499" s="177"/>
      <c r="AH499" s="177"/>
      <c r="AI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  <c r="AE500" s="177"/>
      <c r="AF500" s="177"/>
      <c r="AG500" s="177"/>
      <c r="AH500" s="177"/>
      <c r="AI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  <c r="AE501" s="177"/>
      <c r="AF501" s="177"/>
      <c r="AG501" s="177"/>
      <c r="AH501" s="177"/>
      <c r="AI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  <c r="AE502" s="177"/>
      <c r="AF502" s="177"/>
      <c r="AG502" s="177"/>
      <c r="AH502" s="177"/>
      <c r="AI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  <c r="AE503" s="177"/>
      <c r="AF503" s="177"/>
      <c r="AG503" s="177"/>
      <c r="AH503" s="177"/>
      <c r="AI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  <c r="AE504" s="177"/>
      <c r="AF504" s="177"/>
      <c r="AG504" s="177"/>
      <c r="AH504" s="177"/>
      <c r="AI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  <c r="AE505" s="177"/>
      <c r="AF505" s="177"/>
      <c r="AG505" s="177"/>
      <c r="AH505" s="177"/>
      <c r="AI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  <c r="AE506" s="177"/>
      <c r="AF506" s="177"/>
      <c r="AG506" s="177"/>
      <c r="AH506" s="177"/>
      <c r="AI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  <c r="AE507" s="177"/>
      <c r="AF507" s="177"/>
      <c r="AG507" s="177"/>
      <c r="AH507" s="177"/>
      <c r="AI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  <c r="AE508" s="177"/>
      <c r="AF508" s="177"/>
      <c r="AG508" s="177"/>
      <c r="AH508" s="177"/>
      <c r="AI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  <c r="AE509" s="177"/>
      <c r="AF509" s="177"/>
      <c r="AG509" s="177"/>
      <c r="AH509" s="177"/>
      <c r="AI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  <c r="AE510" s="177"/>
      <c r="AF510" s="177"/>
      <c r="AG510" s="177"/>
      <c r="AH510" s="177"/>
      <c r="AI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  <c r="AE511" s="177"/>
      <c r="AF511" s="177"/>
      <c r="AG511" s="177"/>
      <c r="AH511" s="177"/>
      <c r="AI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  <c r="AE512" s="177"/>
      <c r="AF512" s="177"/>
      <c r="AG512" s="177"/>
      <c r="AH512" s="177"/>
      <c r="AI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  <c r="AE513" s="177"/>
      <c r="AF513" s="177"/>
      <c r="AG513" s="177"/>
      <c r="AH513" s="177"/>
      <c r="AI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  <c r="AE514" s="177"/>
      <c r="AF514" s="177"/>
      <c r="AG514" s="177"/>
      <c r="AH514" s="177"/>
      <c r="AI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  <c r="AE515" s="177"/>
      <c r="AF515" s="177"/>
      <c r="AG515" s="177"/>
      <c r="AH515" s="177"/>
      <c r="AI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  <c r="AE516" s="177"/>
      <c r="AF516" s="177"/>
      <c r="AG516" s="177"/>
      <c r="AH516" s="177"/>
      <c r="AI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  <c r="AE517" s="177"/>
      <c r="AF517" s="177"/>
      <c r="AG517" s="177"/>
      <c r="AH517" s="177"/>
      <c r="AI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  <c r="AE518" s="177"/>
      <c r="AF518" s="177"/>
      <c r="AG518" s="177"/>
      <c r="AH518" s="177"/>
      <c r="AI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  <c r="AE519" s="177"/>
      <c r="AF519" s="177"/>
      <c r="AG519" s="177"/>
      <c r="AH519" s="177"/>
      <c r="AI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  <c r="AE520" s="177"/>
      <c r="AF520" s="177"/>
      <c r="AG520" s="177"/>
      <c r="AH520" s="177"/>
      <c r="AI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  <c r="AE521" s="177"/>
      <c r="AF521" s="177"/>
      <c r="AG521" s="177"/>
      <c r="AH521" s="177"/>
      <c r="AI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  <c r="AE522" s="177"/>
      <c r="AF522" s="177"/>
      <c r="AG522" s="177"/>
      <c r="AH522" s="177"/>
      <c r="AI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  <c r="AE523" s="177"/>
      <c r="AF523" s="177"/>
      <c r="AG523" s="177"/>
      <c r="AH523" s="177"/>
      <c r="AI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  <c r="AE524" s="177"/>
      <c r="AF524" s="177"/>
      <c r="AG524" s="177"/>
      <c r="AH524" s="177"/>
      <c r="AI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  <c r="AE525" s="177"/>
      <c r="AF525" s="177"/>
      <c r="AG525" s="177"/>
      <c r="AH525" s="177"/>
      <c r="AI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  <c r="AE526" s="177"/>
      <c r="AF526" s="177"/>
      <c r="AG526" s="177"/>
      <c r="AH526" s="177"/>
      <c r="AI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  <c r="AE527" s="177"/>
      <c r="AF527" s="177"/>
      <c r="AG527" s="177"/>
      <c r="AH527" s="177"/>
      <c r="AI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  <c r="AE528" s="177"/>
      <c r="AF528" s="177"/>
      <c r="AG528" s="177"/>
      <c r="AH528" s="177"/>
      <c r="AI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  <c r="AE529" s="177"/>
      <c r="AF529" s="177"/>
      <c r="AG529" s="177"/>
      <c r="AH529" s="177"/>
      <c r="AI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  <c r="AE530" s="177"/>
      <c r="AF530" s="177"/>
      <c r="AG530" s="177"/>
      <c r="AH530" s="177"/>
      <c r="AI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  <c r="AE531" s="177"/>
      <c r="AF531" s="177"/>
      <c r="AG531" s="177"/>
      <c r="AH531" s="177"/>
      <c r="AI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  <c r="AE532" s="177"/>
      <c r="AF532" s="177"/>
      <c r="AG532" s="177"/>
      <c r="AH532" s="177"/>
      <c r="AI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  <c r="AE533" s="177"/>
      <c r="AF533" s="177"/>
      <c r="AG533" s="177"/>
      <c r="AH533" s="177"/>
      <c r="AI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  <c r="AE534" s="177"/>
      <c r="AF534" s="177"/>
      <c r="AG534" s="177"/>
      <c r="AH534" s="177"/>
      <c r="AI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  <c r="AE535" s="177"/>
      <c r="AF535" s="177"/>
      <c r="AG535" s="177"/>
      <c r="AH535" s="177"/>
      <c r="AI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  <c r="AE536" s="177"/>
      <c r="AF536" s="177"/>
      <c r="AG536" s="177"/>
      <c r="AH536" s="177"/>
      <c r="AI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  <c r="AE537" s="177"/>
      <c r="AF537" s="177"/>
      <c r="AG537" s="177"/>
      <c r="AH537" s="177"/>
      <c r="AI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  <c r="AE538" s="177"/>
      <c r="AF538" s="177"/>
      <c r="AG538" s="177"/>
      <c r="AH538" s="177"/>
      <c r="AI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  <c r="AE539" s="177"/>
      <c r="AF539" s="177"/>
      <c r="AG539" s="177"/>
      <c r="AH539" s="177"/>
      <c r="AI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  <c r="AE540" s="177"/>
      <c r="AF540" s="177"/>
      <c r="AG540" s="177"/>
      <c r="AH540" s="177"/>
      <c r="AI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  <c r="AE541" s="177"/>
      <c r="AF541" s="177"/>
      <c r="AG541" s="177"/>
      <c r="AH541" s="177"/>
      <c r="AI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  <c r="AE542" s="177"/>
      <c r="AF542" s="177"/>
      <c r="AG542" s="177"/>
      <c r="AH542" s="177"/>
      <c r="AI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  <c r="AE543" s="177"/>
      <c r="AF543" s="177"/>
      <c r="AG543" s="177"/>
      <c r="AH543" s="177"/>
      <c r="AI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  <c r="AE544" s="177"/>
      <c r="AF544" s="177"/>
      <c r="AG544" s="177"/>
      <c r="AH544" s="177"/>
      <c r="AI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  <c r="AE545" s="177"/>
      <c r="AF545" s="177"/>
      <c r="AG545" s="177"/>
      <c r="AH545" s="177"/>
      <c r="AI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  <c r="AE546" s="177"/>
      <c r="AF546" s="177"/>
      <c r="AG546" s="177"/>
      <c r="AH546" s="177"/>
      <c r="AI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  <c r="AE547" s="177"/>
      <c r="AF547" s="177"/>
      <c r="AG547" s="177"/>
      <c r="AH547" s="177"/>
      <c r="AI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  <c r="AE548" s="177"/>
      <c r="AF548" s="177"/>
      <c r="AG548" s="177"/>
      <c r="AH548" s="177"/>
      <c r="AI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  <c r="AE549" s="177"/>
      <c r="AF549" s="177"/>
      <c r="AG549" s="177"/>
      <c r="AH549" s="177"/>
      <c r="AI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  <c r="AE550" s="177"/>
      <c r="AF550" s="177"/>
      <c r="AG550" s="177"/>
      <c r="AH550" s="177"/>
      <c r="AI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  <c r="AE551" s="177"/>
      <c r="AF551" s="177"/>
      <c r="AG551" s="177"/>
      <c r="AH551" s="177"/>
      <c r="AI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  <c r="AE552" s="177"/>
      <c r="AF552" s="177"/>
      <c r="AG552" s="177"/>
      <c r="AH552" s="177"/>
      <c r="AI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  <c r="AE553" s="177"/>
      <c r="AF553" s="177"/>
      <c r="AG553" s="177"/>
      <c r="AH553" s="177"/>
      <c r="AI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  <c r="AE554" s="177"/>
      <c r="AF554" s="177"/>
      <c r="AG554" s="177"/>
      <c r="AH554" s="177"/>
      <c r="AI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  <c r="AE555" s="177"/>
      <c r="AF555" s="177"/>
      <c r="AG555" s="177"/>
      <c r="AH555" s="177"/>
      <c r="AI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  <c r="AE556" s="177"/>
      <c r="AF556" s="177"/>
      <c r="AG556" s="177"/>
      <c r="AH556" s="177"/>
      <c r="AI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  <c r="AE557" s="177"/>
      <c r="AF557" s="177"/>
      <c r="AG557" s="177"/>
      <c r="AH557" s="177"/>
      <c r="AI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  <c r="AE558" s="177"/>
      <c r="AF558" s="177"/>
      <c r="AG558" s="177"/>
      <c r="AH558" s="177"/>
      <c r="AI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  <c r="AE559" s="177"/>
      <c r="AF559" s="177"/>
      <c r="AG559" s="177"/>
      <c r="AH559" s="177"/>
      <c r="AI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  <c r="AE560" s="177"/>
      <c r="AF560" s="177"/>
      <c r="AG560" s="177"/>
      <c r="AH560" s="177"/>
      <c r="AI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  <c r="AE561" s="177"/>
      <c r="AF561" s="177"/>
      <c r="AG561" s="177"/>
      <c r="AH561" s="177"/>
      <c r="AI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  <c r="AE562" s="177"/>
      <c r="AF562" s="177"/>
      <c r="AG562" s="177"/>
      <c r="AH562" s="177"/>
      <c r="AI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  <c r="AE563" s="177"/>
      <c r="AF563" s="177"/>
      <c r="AG563" s="177"/>
      <c r="AH563" s="177"/>
      <c r="AI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  <c r="AE564" s="177"/>
      <c r="AF564" s="177"/>
      <c r="AG564" s="177"/>
      <c r="AH564" s="177"/>
      <c r="AI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  <c r="AE565" s="177"/>
      <c r="AF565" s="177"/>
      <c r="AG565" s="177"/>
      <c r="AH565" s="177"/>
      <c r="AI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  <c r="AE566" s="177"/>
      <c r="AF566" s="177"/>
      <c r="AG566" s="177"/>
      <c r="AH566" s="177"/>
      <c r="AI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  <c r="AE567" s="177"/>
      <c r="AF567" s="177"/>
      <c r="AG567" s="177"/>
      <c r="AH567" s="177"/>
      <c r="AI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  <c r="AE568" s="177"/>
      <c r="AF568" s="177"/>
      <c r="AG568" s="177"/>
      <c r="AH568" s="177"/>
      <c r="AI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  <c r="AE569" s="177"/>
      <c r="AF569" s="177"/>
      <c r="AG569" s="177"/>
      <c r="AH569" s="177"/>
      <c r="AI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  <c r="AE570" s="177"/>
      <c r="AF570" s="177"/>
      <c r="AG570" s="177"/>
      <c r="AH570" s="177"/>
      <c r="AI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  <c r="AE571" s="177"/>
      <c r="AF571" s="177"/>
      <c r="AG571" s="177"/>
      <c r="AH571" s="177"/>
      <c r="AI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  <c r="AE572" s="177"/>
      <c r="AF572" s="177"/>
      <c r="AG572" s="177"/>
      <c r="AH572" s="177"/>
      <c r="AI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  <c r="AE573" s="177"/>
      <c r="AF573" s="177"/>
      <c r="AG573" s="177"/>
      <c r="AH573" s="177"/>
      <c r="AI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  <c r="AE574" s="177"/>
      <c r="AF574" s="177"/>
      <c r="AG574" s="177"/>
      <c r="AH574" s="177"/>
      <c r="AI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  <c r="AE575" s="177"/>
      <c r="AF575" s="177"/>
      <c r="AG575" s="177"/>
      <c r="AH575" s="177"/>
      <c r="AI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  <c r="AE576" s="177"/>
      <c r="AF576" s="177"/>
      <c r="AG576" s="177"/>
      <c r="AH576" s="177"/>
      <c r="AI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  <c r="AE577" s="177"/>
      <c r="AF577" s="177"/>
      <c r="AG577" s="177"/>
      <c r="AH577" s="177"/>
      <c r="AI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  <c r="AE578" s="177"/>
      <c r="AF578" s="177"/>
      <c r="AG578" s="177"/>
      <c r="AH578" s="177"/>
      <c r="AI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  <c r="AE579" s="177"/>
      <c r="AF579" s="177"/>
      <c r="AG579" s="177"/>
      <c r="AH579" s="177"/>
      <c r="AI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  <c r="AE580" s="177"/>
      <c r="AF580" s="177"/>
      <c r="AG580" s="177"/>
      <c r="AH580" s="177"/>
      <c r="AI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  <c r="AE581" s="177"/>
      <c r="AF581" s="177"/>
      <c r="AG581" s="177"/>
      <c r="AH581" s="177"/>
      <c r="AI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  <c r="AE582" s="177"/>
      <c r="AF582" s="177"/>
      <c r="AG582" s="177"/>
      <c r="AH582" s="177"/>
      <c r="AI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  <c r="AE583" s="177"/>
      <c r="AF583" s="177"/>
      <c r="AG583" s="177"/>
      <c r="AH583" s="177"/>
      <c r="AI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  <c r="AE584" s="177"/>
      <c r="AF584" s="177"/>
      <c r="AG584" s="177"/>
      <c r="AH584" s="177"/>
      <c r="AI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  <c r="AE585" s="177"/>
      <c r="AF585" s="177"/>
      <c r="AG585" s="177"/>
      <c r="AH585" s="177"/>
      <c r="AI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  <c r="AE586" s="177"/>
      <c r="AF586" s="177"/>
      <c r="AG586" s="177"/>
      <c r="AH586" s="177"/>
      <c r="AI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  <c r="AE587" s="177"/>
      <c r="AF587" s="177"/>
      <c r="AG587" s="177"/>
      <c r="AH587" s="177"/>
      <c r="AI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  <c r="AE588" s="177"/>
      <c r="AF588" s="177"/>
      <c r="AG588" s="177"/>
      <c r="AH588" s="177"/>
      <c r="AI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  <c r="AE589" s="177"/>
      <c r="AF589" s="177"/>
      <c r="AG589" s="177"/>
      <c r="AH589" s="177"/>
      <c r="AI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  <c r="AE590" s="177"/>
      <c r="AF590" s="177"/>
      <c r="AG590" s="177"/>
      <c r="AH590" s="177"/>
      <c r="AI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  <c r="AE591" s="177"/>
      <c r="AF591" s="177"/>
      <c r="AG591" s="177"/>
      <c r="AH591" s="177"/>
      <c r="AI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  <c r="AE592" s="177"/>
      <c r="AF592" s="177"/>
      <c r="AG592" s="177"/>
      <c r="AH592" s="177"/>
      <c r="AI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  <c r="AE593" s="177"/>
      <c r="AF593" s="177"/>
      <c r="AG593" s="177"/>
      <c r="AH593" s="177"/>
      <c r="AI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  <c r="AE594" s="177"/>
      <c r="AF594" s="177"/>
      <c r="AG594" s="177"/>
      <c r="AH594" s="177"/>
      <c r="AI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  <c r="AE595" s="177"/>
      <c r="AF595" s="177"/>
      <c r="AG595" s="177"/>
      <c r="AH595" s="177"/>
      <c r="AI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  <c r="AE596" s="177"/>
      <c r="AF596" s="177"/>
      <c r="AG596" s="177"/>
      <c r="AH596" s="177"/>
      <c r="AI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  <c r="AE597" s="177"/>
      <c r="AF597" s="177"/>
      <c r="AG597" s="177"/>
      <c r="AH597" s="177"/>
      <c r="AI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  <c r="AE599" s="177"/>
      <c r="AF599" s="177"/>
      <c r="AG599" s="177"/>
      <c r="AH599" s="177"/>
      <c r="AI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  <c r="AE600" s="177"/>
      <c r="AF600" s="177"/>
      <c r="AG600" s="177"/>
      <c r="AH600" s="177"/>
      <c r="AI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  <c r="AE601" s="177"/>
      <c r="AF601" s="177"/>
      <c r="AG601" s="177"/>
      <c r="AH601" s="177"/>
      <c r="AI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  <c r="AE602" s="177"/>
      <c r="AF602" s="177"/>
      <c r="AG602" s="177"/>
      <c r="AH602" s="177"/>
      <c r="AI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  <c r="AE603" s="177"/>
      <c r="AF603" s="177"/>
      <c r="AG603" s="177"/>
      <c r="AH603" s="177"/>
      <c r="AI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177"/>
      <c r="AG604" s="177"/>
      <c r="AH604" s="177"/>
      <c r="AI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  <c r="AE605" s="177"/>
      <c r="AF605" s="177"/>
      <c r="AG605" s="177"/>
      <c r="AH605" s="177"/>
      <c r="AI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  <c r="AE606" s="177"/>
      <c r="AF606" s="177"/>
      <c r="AG606" s="177"/>
      <c r="AH606" s="177"/>
      <c r="AI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  <c r="AE607" s="177"/>
      <c r="AF607" s="177"/>
      <c r="AG607" s="177"/>
      <c r="AH607" s="177"/>
      <c r="AI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  <c r="AE608" s="177"/>
      <c r="AF608" s="177"/>
      <c r="AG608" s="177"/>
      <c r="AH608" s="177"/>
      <c r="AI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  <c r="AE609" s="177"/>
      <c r="AF609" s="177"/>
      <c r="AG609" s="177"/>
      <c r="AH609" s="177"/>
      <c r="AI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  <c r="AE610" s="177"/>
      <c r="AF610" s="177"/>
      <c r="AG610" s="177"/>
      <c r="AH610" s="177"/>
      <c r="AI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  <c r="AE611" s="177"/>
      <c r="AF611" s="177"/>
      <c r="AG611" s="177"/>
      <c r="AH611" s="177"/>
      <c r="AI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  <c r="AE612" s="177"/>
      <c r="AF612" s="177"/>
      <c r="AG612" s="177"/>
      <c r="AH612" s="177"/>
      <c r="AI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  <c r="AE613" s="177"/>
      <c r="AF613" s="177"/>
      <c r="AG613" s="177"/>
      <c r="AH613" s="177"/>
      <c r="AI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  <c r="AE614" s="177"/>
      <c r="AF614" s="177"/>
      <c r="AG614" s="177"/>
      <c r="AH614" s="177"/>
      <c r="AI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  <c r="AE615" s="177"/>
      <c r="AF615" s="177"/>
      <c r="AG615" s="177"/>
      <c r="AH615" s="177"/>
      <c r="AI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  <c r="AE616" s="177"/>
      <c r="AF616" s="177"/>
      <c r="AG616" s="177"/>
      <c r="AH616" s="177"/>
      <c r="AI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  <c r="AE617" s="177"/>
      <c r="AF617" s="177"/>
      <c r="AG617" s="177"/>
      <c r="AH617" s="177"/>
      <c r="AI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  <c r="AE618" s="177"/>
      <c r="AF618" s="177"/>
      <c r="AG618" s="177"/>
      <c r="AH618" s="177"/>
      <c r="AI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  <c r="AE619" s="177"/>
      <c r="AF619" s="177"/>
      <c r="AG619" s="177"/>
      <c r="AH619" s="177"/>
      <c r="AI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  <c r="AE620" s="177"/>
      <c r="AF620" s="177"/>
      <c r="AG620" s="177"/>
      <c r="AH620" s="177"/>
      <c r="AI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  <c r="AE621" s="177"/>
      <c r="AF621" s="177"/>
      <c r="AG621" s="177"/>
      <c r="AH621" s="177"/>
      <c r="AI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  <c r="AE622" s="177"/>
      <c r="AF622" s="177"/>
      <c r="AG622" s="177"/>
      <c r="AH622" s="177"/>
      <c r="AI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  <c r="AE623" s="177"/>
      <c r="AF623" s="177"/>
      <c r="AG623" s="177"/>
      <c r="AH623" s="177"/>
      <c r="AI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  <c r="AE624" s="177"/>
      <c r="AF624" s="177"/>
      <c r="AG624" s="177"/>
      <c r="AH624" s="177"/>
      <c r="AI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  <c r="AE625" s="177"/>
      <c r="AF625" s="177"/>
      <c r="AG625" s="177"/>
      <c r="AH625" s="177"/>
      <c r="AI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  <c r="AE626" s="177"/>
      <c r="AF626" s="177"/>
      <c r="AG626" s="177"/>
      <c r="AH626" s="177"/>
      <c r="AI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  <c r="AE627" s="177"/>
      <c r="AF627" s="177"/>
      <c r="AG627" s="177"/>
      <c r="AH627" s="177"/>
      <c r="AI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  <c r="AE628" s="177"/>
      <c r="AF628" s="177"/>
      <c r="AG628" s="177"/>
      <c r="AH628" s="177"/>
      <c r="AI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  <c r="AE629" s="177"/>
      <c r="AF629" s="177"/>
      <c r="AG629" s="177"/>
      <c r="AH629" s="177"/>
      <c r="AI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  <c r="AE630" s="177"/>
      <c r="AF630" s="177"/>
      <c r="AG630" s="177"/>
      <c r="AH630" s="177"/>
      <c r="AI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177"/>
      <c r="AG631" s="177"/>
      <c r="AH631" s="177"/>
      <c r="AI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  <c r="AE632" s="177"/>
      <c r="AF632" s="177"/>
      <c r="AG632" s="177"/>
      <c r="AH632" s="177"/>
      <c r="AI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  <c r="AE633" s="177"/>
      <c r="AF633" s="177"/>
      <c r="AG633" s="177"/>
      <c r="AH633" s="177"/>
      <c r="AI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  <c r="AE634" s="177"/>
      <c r="AF634" s="177"/>
      <c r="AG634" s="177"/>
      <c r="AH634" s="177"/>
      <c r="AI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  <c r="AE635" s="177"/>
      <c r="AF635" s="177"/>
      <c r="AG635" s="177"/>
      <c r="AH635" s="177"/>
      <c r="AI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  <c r="AE636" s="177"/>
      <c r="AF636" s="177"/>
      <c r="AG636" s="177"/>
      <c r="AH636" s="177"/>
      <c r="AI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  <c r="AE637" s="177"/>
      <c r="AF637" s="177"/>
      <c r="AG637" s="177"/>
      <c r="AH637" s="177"/>
      <c r="AI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  <c r="AE638" s="177"/>
      <c r="AF638" s="177"/>
      <c r="AG638" s="177"/>
      <c r="AH638" s="177"/>
      <c r="AI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  <c r="AE639" s="177"/>
      <c r="AF639" s="177"/>
      <c r="AG639" s="177"/>
      <c r="AH639" s="177"/>
      <c r="AI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  <c r="AE640" s="177"/>
      <c r="AF640" s="177"/>
      <c r="AG640" s="177"/>
      <c r="AH640" s="177"/>
      <c r="AI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  <c r="AE641" s="177"/>
      <c r="AF641" s="177"/>
      <c r="AG641" s="177"/>
      <c r="AH641" s="177"/>
      <c r="AI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  <c r="AE642" s="177"/>
      <c r="AF642" s="177"/>
      <c r="AG642" s="177"/>
      <c r="AH642" s="177"/>
      <c r="AI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  <c r="AE643" s="177"/>
      <c r="AF643" s="177"/>
      <c r="AG643" s="177"/>
      <c r="AH643" s="177"/>
      <c r="AI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  <c r="AE644" s="177"/>
      <c r="AF644" s="177"/>
      <c r="AG644" s="177"/>
      <c r="AH644" s="177"/>
      <c r="AI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  <c r="AE645" s="177"/>
      <c r="AF645" s="177"/>
      <c r="AG645" s="177"/>
      <c r="AH645" s="177"/>
      <c r="AI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  <c r="AE646" s="177"/>
      <c r="AF646" s="177"/>
      <c r="AG646" s="177"/>
      <c r="AH646" s="177"/>
      <c r="AI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  <c r="AE647" s="177"/>
      <c r="AF647" s="177"/>
      <c r="AG647" s="177"/>
      <c r="AH647" s="177"/>
      <c r="AI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  <c r="AE648" s="177"/>
      <c r="AF648" s="177"/>
      <c r="AG648" s="177"/>
      <c r="AH648" s="177"/>
      <c r="AI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  <c r="AE649" s="177"/>
      <c r="AF649" s="177"/>
      <c r="AG649" s="177"/>
      <c r="AH649" s="177"/>
      <c r="AI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  <c r="AE650" s="177"/>
      <c r="AF650" s="177"/>
      <c r="AG650" s="177"/>
      <c r="AH650" s="177"/>
      <c r="AI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  <c r="AE651" s="177"/>
      <c r="AF651" s="177"/>
      <c r="AG651" s="177"/>
      <c r="AH651" s="177"/>
      <c r="AI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  <c r="AE652" s="177"/>
      <c r="AF652" s="177"/>
      <c r="AG652" s="177"/>
      <c r="AH652" s="177"/>
      <c r="AI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  <c r="AE653" s="177"/>
      <c r="AF653" s="177"/>
      <c r="AG653" s="177"/>
      <c r="AH653" s="177"/>
      <c r="AI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  <c r="AE654" s="177"/>
      <c r="AF654" s="177"/>
      <c r="AG654" s="177"/>
      <c r="AH654" s="177"/>
      <c r="AI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  <c r="AE655" s="177"/>
      <c r="AF655" s="177"/>
      <c r="AG655" s="177"/>
      <c r="AH655" s="177"/>
      <c r="AI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  <c r="AE656" s="177"/>
      <c r="AF656" s="177"/>
      <c r="AG656" s="177"/>
      <c r="AH656" s="177"/>
      <c r="AI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  <c r="AE657" s="177"/>
      <c r="AF657" s="177"/>
      <c r="AG657" s="177"/>
      <c r="AH657" s="177"/>
      <c r="AI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  <c r="AE658" s="177"/>
      <c r="AF658" s="177"/>
      <c r="AG658" s="177"/>
      <c r="AH658" s="177"/>
      <c r="AI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  <c r="AE659" s="177"/>
      <c r="AF659" s="177"/>
      <c r="AG659" s="177"/>
      <c r="AH659" s="177"/>
      <c r="AI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  <c r="AE660" s="177"/>
      <c r="AF660" s="177"/>
      <c r="AG660" s="177"/>
      <c r="AH660" s="177"/>
      <c r="AI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  <c r="AE661" s="177"/>
      <c r="AF661" s="177"/>
      <c r="AG661" s="177"/>
      <c r="AH661" s="177"/>
      <c r="AI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  <c r="AE662" s="177"/>
      <c r="AF662" s="177"/>
      <c r="AG662" s="177"/>
      <c r="AH662" s="177"/>
      <c r="AI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  <c r="AE663" s="177"/>
      <c r="AF663" s="177"/>
      <c r="AG663" s="177"/>
      <c r="AH663" s="177"/>
      <c r="AI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  <c r="AE664" s="177"/>
      <c r="AF664" s="177"/>
      <c r="AG664" s="177"/>
      <c r="AH664" s="177"/>
      <c r="AI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  <c r="AI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  <c r="AE666" s="177"/>
      <c r="AF666" s="177"/>
      <c r="AG666" s="177"/>
      <c r="AH666" s="177"/>
      <c r="AI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  <c r="AE667" s="177"/>
      <c r="AF667" s="177"/>
      <c r="AG667" s="177"/>
      <c r="AH667" s="177"/>
      <c r="AI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  <c r="AE668" s="177"/>
      <c r="AF668" s="177"/>
      <c r="AG668" s="177"/>
      <c r="AH668" s="177"/>
      <c r="AI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  <c r="AE669" s="177"/>
      <c r="AF669" s="177"/>
      <c r="AG669" s="177"/>
      <c r="AH669" s="177"/>
      <c r="AI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  <c r="AE670" s="177"/>
      <c r="AF670" s="177"/>
      <c r="AG670" s="177"/>
      <c r="AH670" s="177"/>
      <c r="AI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  <c r="AE671" s="177"/>
      <c r="AF671" s="177"/>
      <c r="AG671" s="177"/>
      <c r="AH671" s="177"/>
      <c r="AI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  <c r="AE672" s="177"/>
      <c r="AF672" s="177"/>
      <c r="AG672" s="177"/>
      <c r="AH672" s="177"/>
      <c r="AI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  <c r="AE673" s="177"/>
      <c r="AF673" s="177"/>
      <c r="AG673" s="177"/>
      <c r="AH673" s="177"/>
      <c r="AI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  <c r="AE674" s="177"/>
      <c r="AF674" s="177"/>
      <c r="AG674" s="177"/>
      <c r="AH674" s="177"/>
      <c r="AI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  <c r="AE675" s="177"/>
      <c r="AF675" s="177"/>
      <c r="AG675" s="177"/>
      <c r="AH675" s="177"/>
      <c r="AI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  <c r="AE676" s="177"/>
      <c r="AF676" s="177"/>
      <c r="AG676" s="177"/>
      <c r="AH676" s="177"/>
      <c r="AI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  <c r="AE677" s="177"/>
      <c r="AF677" s="177"/>
      <c r="AG677" s="177"/>
      <c r="AH677" s="177"/>
      <c r="AI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  <c r="AE678" s="177"/>
      <c r="AF678" s="177"/>
      <c r="AG678" s="177"/>
      <c r="AH678" s="177"/>
      <c r="AI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  <c r="AE679" s="177"/>
      <c r="AF679" s="177"/>
      <c r="AG679" s="177"/>
      <c r="AH679" s="177"/>
      <c r="AI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  <c r="AE680" s="177"/>
      <c r="AF680" s="177"/>
      <c r="AG680" s="177"/>
      <c r="AH680" s="177"/>
      <c r="AI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  <c r="AE681" s="177"/>
      <c r="AF681" s="177"/>
      <c r="AG681" s="177"/>
      <c r="AH681" s="177"/>
      <c r="AI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  <c r="AE682" s="177"/>
      <c r="AF682" s="177"/>
      <c r="AG682" s="177"/>
      <c r="AH682" s="177"/>
      <c r="AI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  <c r="AE683" s="177"/>
      <c r="AF683" s="177"/>
      <c r="AG683" s="177"/>
      <c r="AH683" s="177"/>
      <c r="AI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  <c r="AE684" s="177"/>
      <c r="AF684" s="177"/>
      <c r="AG684" s="177"/>
      <c r="AH684" s="177"/>
      <c r="AI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  <c r="AE685" s="177"/>
      <c r="AF685" s="177"/>
      <c r="AG685" s="177"/>
      <c r="AH685" s="177"/>
      <c r="AI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  <c r="AE686" s="177"/>
      <c r="AF686" s="177"/>
      <c r="AG686" s="177"/>
      <c r="AH686" s="177"/>
      <c r="AI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  <c r="AE687" s="177"/>
      <c r="AF687" s="177"/>
      <c r="AG687" s="177"/>
      <c r="AH687" s="177"/>
      <c r="AI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  <c r="AE688" s="177"/>
      <c r="AF688" s="177"/>
      <c r="AG688" s="177"/>
      <c r="AH688" s="177"/>
      <c r="AI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  <c r="AE689" s="177"/>
      <c r="AF689" s="177"/>
      <c r="AG689" s="177"/>
      <c r="AH689" s="177"/>
      <c r="AI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  <c r="AE690" s="177"/>
      <c r="AF690" s="177"/>
      <c r="AG690" s="177"/>
      <c r="AH690" s="177"/>
      <c r="AI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  <c r="AE691" s="177"/>
      <c r="AF691" s="177"/>
      <c r="AG691" s="177"/>
      <c r="AH691" s="177"/>
      <c r="AI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  <c r="AE692" s="177"/>
      <c r="AF692" s="177"/>
      <c r="AG692" s="177"/>
      <c r="AH692" s="177"/>
      <c r="AI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  <c r="AE693" s="177"/>
      <c r="AF693" s="177"/>
      <c r="AG693" s="177"/>
      <c r="AH693" s="177"/>
      <c r="AI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  <c r="AE694" s="177"/>
      <c r="AF694" s="177"/>
      <c r="AG694" s="177"/>
      <c r="AH694" s="177"/>
      <c r="AI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  <c r="AE695" s="177"/>
      <c r="AF695" s="177"/>
      <c r="AG695" s="177"/>
      <c r="AH695" s="177"/>
      <c r="AI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  <c r="AE696" s="177"/>
      <c r="AF696" s="177"/>
      <c r="AG696" s="177"/>
      <c r="AH696" s="177"/>
      <c r="AI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  <c r="AE697" s="177"/>
      <c r="AF697" s="177"/>
      <c r="AG697" s="177"/>
      <c r="AH697" s="177"/>
      <c r="AI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  <c r="AI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  <c r="AE699" s="177"/>
      <c r="AF699" s="177"/>
      <c r="AG699" s="177"/>
      <c r="AH699" s="177"/>
      <c r="AI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  <c r="AE700" s="177"/>
      <c r="AF700" s="177"/>
      <c r="AG700" s="177"/>
      <c r="AH700" s="177"/>
      <c r="AI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  <c r="AE701" s="177"/>
      <c r="AF701" s="177"/>
      <c r="AG701" s="177"/>
      <c r="AH701" s="177"/>
      <c r="AI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  <c r="AE702" s="177"/>
      <c r="AF702" s="177"/>
      <c r="AG702" s="177"/>
      <c r="AH702" s="177"/>
      <c r="AI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  <c r="AE703" s="177"/>
      <c r="AF703" s="177"/>
      <c r="AG703" s="177"/>
      <c r="AH703" s="177"/>
      <c r="AI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  <c r="AE704" s="177"/>
      <c r="AF704" s="177"/>
      <c r="AG704" s="177"/>
      <c r="AH704" s="177"/>
      <c r="AI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  <c r="AE705" s="177"/>
      <c r="AF705" s="177"/>
      <c r="AG705" s="177"/>
      <c r="AH705" s="177"/>
      <c r="AI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  <c r="AE706" s="177"/>
      <c r="AF706" s="177"/>
      <c r="AG706" s="177"/>
      <c r="AH706" s="177"/>
      <c r="AI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  <c r="AE707" s="177"/>
      <c r="AF707" s="177"/>
      <c r="AG707" s="177"/>
      <c r="AH707" s="177"/>
      <c r="AI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  <c r="AE708" s="177"/>
      <c r="AF708" s="177"/>
      <c r="AG708" s="177"/>
      <c r="AH708" s="177"/>
      <c r="AI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  <c r="AE709" s="177"/>
      <c r="AF709" s="177"/>
      <c r="AG709" s="177"/>
      <c r="AH709" s="177"/>
      <c r="AI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  <c r="AE710" s="177"/>
      <c r="AF710" s="177"/>
      <c r="AG710" s="177"/>
      <c r="AH710" s="177"/>
      <c r="AI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  <c r="AE711" s="177"/>
      <c r="AF711" s="177"/>
      <c r="AG711" s="177"/>
      <c r="AH711" s="177"/>
      <c r="AI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  <c r="AE712" s="177"/>
      <c r="AF712" s="177"/>
      <c r="AG712" s="177"/>
      <c r="AH712" s="177"/>
      <c r="AI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  <c r="AE713" s="177"/>
      <c r="AF713" s="177"/>
      <c r="AG713" s="177"/>
      <c r="AH713" s="177"/>
      <c r="AI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  <c r="AE714" s="177"/>
      <c r="AF714" s="177"/>
      <c r="AG714" s="177"/>
      <c r="AH714" s="177"/>
      <c r="AI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  <c r="AE715" s="177"/>
      <c r="AF715" s="177"/>
      <c r="AG715" s="177"/>
      <c r="AH715" s="177"/>
      <c r="AI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  <c r="AE716" s="177"/>
      <c r="AF716" s="177"/>
      <c r="AG716" s="177"/>
      <c r="AH716" s="177"/>
      <c r="AI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  <c r="AE717" s="177"/>
      <c r="AF717" s="177"/>
      <c r="AG717" s="177"/>
      <c r="AH717" s="177"/>
      <c r="AI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  <c r="AE718" s="177"/>
      <c r="AF718" s="177"/>
      <c r="AG718" s="177"/>
      <c r="AH718" s="177"/>
      <c r="AI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  <c r="AE719" s="177"/>
      <c r="AF719" s="177"/>
      <c r="AG719" s="177"/>
      <c r="AH719" s="177"/>
      <c r="AI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  <c r="AE720" s="177"/>
      <c r="AF720" s="177"/>
      <c r="AG720" s="177"/>
      <c r="AH720" s="177"/>
      <c r="AI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  <c r="AE721" s="177"/>
      <c r="AF721" s="177"/>
      <c r="AG721" s="177"/>
      <c r="AH721" s="177"/>
      <c r="AI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  <c r="AE722" s="177"/>
      <c r="AF722" s="177"/>
      <c r="AG722" s="177"/>
      <c r="AH722" s="177"/>
      <c r="AI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  <c r="AE723" s="177"/>
      <c r="AF723" s="177"/>
      <c r="AG723" s="177"/>
      <c r="AH723" s="177"/>
      <c r="AI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  <c r="AE724" s="177"/>
      <c r="AF724" s="177"/>
      <c r="AG724" s="177"/>
      <c r="AH724" s="177"/>
      <c r="AI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  <c r="AE725" s="177"/>
      <c r="AF725" s="177"/>
      <c r="AG725" s="177"/>
      <c r="AH725" s="177"/>
      <c r="AI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  <c r="AE726" s="177"/>
      <c r="AF726" s="177"/>
      <c r="AG726" s="177"/>
      <c r="AH726" s="177"/>
      <c r="AI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  <c r="AE727" s="177"/>
      <c r="AF727" s="177"/>
      <c r="AG727" s="177"/>
      <c r="AH727" s="177"/>
      <c r="AI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  <c r="AE728" s="177"/>
      <c r="AF728" s="177"/>
      <c r="AG728" s="177"/>
      <c r="AH728" s="177"/>
      <c r="AI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  <c r="AE729" s="177"/>
      <c r="AF729" s="177"/>
      <c r="AG729" s="177"/>
      <c r="AH729" s="177"/>
      <c r="AI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  <c r="AE730" s="177"/>
      <c r="AF730" s="177"/>
      <c r="AG730" s="177"/>
      <c r="AH730" s="177"/>
      <c r="AI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  <c r="AE731" s="177"/>
      <c r="AF731" s="177"/>
      <c r="AG731" s="177"/>
      <c r="AH731" s="177"/>
      <c r="AI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  <c r="AE732" s="177"/>
      <c r="AF732" s="177"/>
      <c r="AG732" s="177"/>
      <c r="AH732" s="177"/>
      <c r="AI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  <c r="AE733" s="177"/>
      <c r="AF733" s="177"/>
      <c r="AG733" s="177"/>
      <c r="AH733" s="177"/>
      <c r="AI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  <c r="AE734" s="177"/>
      <c r="AF734" s="177"/>
      <c r="AG734" s="177"/>
      <c r="AH734" s="177"/>
      <c r="AI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  <c r="AE735" s="177"/>
      <c r="AF735" s="177"/>
      <c r="AG735" s="177"/>
      <c r="AH735" s="177"/>
      <c r="AI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  <c r="AE736" s="177"/>
      <c r="AF736" s="177"/>
      <c r="AG736" s="177"/>
      <c r="AH736" s="177"/>
      <c r="AI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  <c r="AE737" s="177"/>
      <c r="AF737" s="177"/>
      <c r="AG737" s="177"/>
      <c r="AH737" s="177"/>
      <c r="AI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  <c r="AE738" s="177"/>
      <c r="AF738" s="177"/>
      <c r="AG738" s="177"/>
      <c r="AH738" s="177"/>
      <c r="AI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  <c r="AI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  <c r="AE740" s="177"/>
      <c r="AF740" s="177"/>
      <c r="AG740" s="177"/>
      <c r="AH740" s="177"/>
      <c r="AI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  <c r="AE741" s="177"/>
      <c r="AF741" s="177"/>
      <c r="AG741" s="177"/>
      <c r="AH741" s="177"/>
      <c r="AI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  <c r="AE742" s="177"/>
      <c r="AF742" s="177"/>
      <c r="AG742" s="177"/>
      <c r="AH742" s="177"/>
      <c r="AI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  <c r="AE743" s="177"/>
      <c r="AF743" s="177"/>
      <c r="AG743" s="177"/>
      <c r="AH743" s="177"/>
      <c r="AI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  <c r="AE744" s="177"/>
      <c r="AF744" s="177"/>
      <c r="AG744" s="177"/>
      <c r="AH744" s="177"/>
      <c r="AI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  <c r="AE745" s="177"/>
      <c r="AF745" s="177"/>
      <c r="AG745" s="177"/>
      <c r="AH745" s="177"/>
      <c r="AI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  <c r="AE746" s="177"/>
      <c r="AF746" s="177"/>
      <c r="AG746" s="177"/>
      <c r="AH746" s="177"/>
      <c r="AI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  <c r="AE747" s="177"/>
      <c r="AF747" s="177"/>
      <c r="AG747" s="177"/>
      <c r="AH747" s="177"/>
      <c r="AI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  <c r="AE748" s="177"/>
      <c r="AF748" s="177"/>
      <c r="AG748" s="177"/>
      <c r="AH748" s="177"/>
      <c r="AI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  <c r="AE749" s="177"/>
      <c r="AF749" s="177"/>
      <c r="AG749" s="177"/>
      <c r="AH749" s="177"/>
      <c r="AI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  <c r="AE750" s="177"/>
      <c r="AF750" s="177"/>
      <c r="AG750" s="177"/>
      <c r="AH750" s="177"/>
      <c r="AI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  <c r="AE751" s="177"/>
      <c r="AF751" s="177"/>
      <c r="AG751" s="177"/>
      <c r="AH751" s="177"/>
      <c r="AI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  <c r="AE752" s="177"/>
      <c r="AF752" s="177"/>
      <c r="AG752" s="177"/>
      <c r="AH752" s="177"/>
      <c r="AI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  <c r="AE753" s="177"/>
      <c r="AF753" s="177"/>
      <c r="AG753" s="177"/>
      <c r="AH753" s="177"/>
      <c r="AI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  <c r="AE754" s="177"/>
      <c r="AF754" s="177"/>
      <c r="AG754" s="177"/>
      <c r="AH754" s="177"/>
      <c r="AI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  <c r="AE755" s="177"/>
      <c r="AF755" s="177"/>
      <c r="AG755" s="177"/>
      <c r="AH755" s="177"/>
      <c r="AI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  <c r="AE756" s="177"/>
      <c r="AF756" s="177"/>
      <c r="AG756" s="177"/>
      <c r="AH756" s="177"/>
      <c r="AI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  <c r="AE757" s="177"/>
      <c r="AF757" s="177"/>
      <c r="AG757" s="177"/>
      <c r="AH757" s="177"/>
      <c r="AI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  <c r="AE758" s="177"/>
      <c r="AF758" s="177"/>
      <c r="AG758" s="177"/>
      <c r="AH758" s="177"/>
      <c r="AI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  <c r="AE759" s="177"/>
      <c r="AF759" s="177"/>
      <c r="AG759" s="177"/>
      <c r="AH759" s="177"/>
      <c r="AI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  <c r="AE760" s="177"/>
      <c r="AF760" s="177"/>
      <c r="AG760" s="177"/>
      <c r="AH760" s="177"/>
      <c r="AI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  <c r="AE761" s="177"/>
      <c r="AF761" s="177"/>
      <c r="AG761" s="177"/>
      <c r="AH761" s="177"/>
      <c r="AI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  <c r="AE762" s="177"/>
      <c r="AF762" s="177"/>
      <c r="AG762" s="177"/>
      <c r="AH762" s="177"/>
      <c r="AI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  <c r="AE763" s="177"/>
      <c r="AF763" s="177"/>
      <c r="AG763" s="177"/>
      <c r="AH763" s="177"/>
      <c r="AI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  <c r="AE764" s="177"/>
      <c r="AF764" s="177"/>
      <c r="AG764" s="177"/>
      <c r="AH764" s="177"/>
      <c r="AI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  <c r="AE765" s="177"/>
      <c r="AF765" s="177"/>
      <c r="AG765" s="177"/>
      <c r="AH765" s="177"/>
      <c r="AI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  <c r="AE766" s="177"/>
      <c r="AF766" s="177"/>
      <c r="AG766" s="177"/>
      <c r="AH766" s="177"/>
      <c r="AI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  <c r="AE767" s="177"/>
      <c r="AF767" s="177"/>
      <c r="AG767" s="177"/>
      <c r="AH767" s="177"/>
      <c r="AI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  <c r="AE768" s="177"/>
      <c r="AF768" s="177"/>
      <c r="AG768" s="177"/>
      <c r="AH768" s="177"/>
      <c r="AI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  <c r="AE769" s="177"/>
      <c r="AF769" s="177"/>
      <c r="AG769" s="177"/>
      <c r="AH769" s="177"/>
      <c r="AI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  <c r="AE770" s="177"/>
      <c r="AF770" s="177"/>
      <c r="AG770" s="177"/>
      <c r="AH770" s="177"/>
      <c r="AI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  <c r="AE771" s="177"/>
      <c r="AF771" s="177"/>
      <c r="AG771" s="177"/>
      <c r="AH771" s="177"/>
      <c r="AI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  <c r="AE772" s="177"/>
      <c r="AF772" s="177"/>
      <c r="AG772" s="177"/>
      <c r="AH772" s="177"/>
      <c r="AI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  <c r="AE773" s="177"/>
      <c r="AF773" s="177"/>
      <c r="AG773" s="177"/>
      <c r="AH773" s="177"/>
      <c r="AI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  <c r="AE774" s="177"/>
      <c r="AF774" s="177"/>
      <c r="AG774" s="177"/>
      <c r="AH774" s="177"/>
      <c r="AI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  <c r="AE775" s="177"/>
      <c r="AF775" s="177"/>
      <c r="AG775" s="177"/>
      <c r="AH775" s="177"/>
      <c r="AI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  <c r="AE776" s="177"/>
      <c r="AF776" s="177"/>
      <c r="AG776" s="177"/>
      <c r="AH776" s="177"/>
      <c r="AI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  <c r="AE777" s="177"/>
      <c r="AF777" s="177"/>
      <c r="AG777" s="177"/>
      <c r="AH777" s="177"/>
      <c r="AI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  <c r="AE778" s="177"/>
      <c r="AF778" s="177"/>
      <c r="AG778" s="177"/>
      <c r="AH778" s="177"/>
      <c r="AI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  <c r="AE779" s="177"/>
      <c r="AF779" s="177"/>
      <c r="AG779" s="177"/>
      <c r="AH779" s="177"/>
      <c r="AI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  <c r="AE780" s="177"/>
      <c r="AF780" s="177"/>
      <c r="AG780" s="177"/>
      <c r="AH780" s="177"/>
      <c r="AI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  <c r="AE781" s="177"/>
      <c r="AF781" s="177"/>
      <c r="AG781" s="177"/>
      <c r="AH781" s="177"/>
      <c r="AI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  <c r="AE782" s="177"/>
      <c r="AF782" s="177"/>
      <c r="AG782" s="177"/>
      <c r="AH782" s="177"/>
      <c r="AI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  <c r="AE783" s="177"/>
      <c r="AF783" s="177"/>
      <c r="AG783" s="177"/>
      <c r="AH783" s="177"/>
      <c r="AI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  <c r="AE784" s="177"/>
      <c r="AF784" s="177"/>
      <c r="AG784" s="177"/>
      <c r="AH784" s="177"/>
      <c r="AI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  <c r="AE785" s="177"/>
      <c r="AF785" s="177"/>
      <c r="AG785" s="177"/>
      <c r="AH785" s="177"/>
      <c r="AI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  <c r="AE786" s="177"/>
      <c r="AF786" s="177"/>
      <c r="AG786" s="177"/>
      <c r="AH786" s="177"/>
      <c r="AI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  <c r="AE787" s="177"/>
      <c r="AF787" s="177"/>
      <c r="AG787" s="177"/>
      <c r="AH787" s="177"/>
      <c r="AI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  <c r="AE788" s="177"/>
      <c r="AF788" s="177"/>
      <c r="AG788" s="177"/>
      <c r="AH788" s="177"/>
      <c r="AI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  <c r="AE789" s="177"/>
      <c r="AF789" s="177"/>
      <c r="AG789" s="177"/>
      <c r="AH789" s="177"/>
      <c r="AI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  <c r="AE790" s="177"/>
      <c r="AF790" s="177"/>
      <c r="AG790" s="177"/>
      <c r="AH790" s="177"/>
      <c r="AI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  <c r="AE791" s="177"/>
      <c r="AF791" s="177"/>
      <c r="AG791" s="177"/>
      <c r="AH791" s="177"/>
      <c r="AI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  <c r="AE792" s="177"/>
      <c r="AF792" s="177"/>
      <c r="AG792" s="177"/>
      <c r="AH792" s="177"/>
      <c r="AI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  <c r="AE793" s="177"/>
      <c r="AF793" s="177"/>
      <c r="AG793" s="177"/>
      <c r="AH793" s="177"/>
      <c r="AI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  <c r="AE794" s="177"/>
      <c r="AF794" s="177"/>
      <c r="AG794" s="177"/>
      <c r="AH794" s="177"/>
      <c r="AI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  <c r="AE795" s="177"/>
      <c r="AF795" s="177"/>
      <c r="AG795" s="177"/>
      <c r="AH795" s="177"/>
      <c r="AI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  <c r="AE796" s="177"/>
      <c r="AF796" s="177"/>
      <c r="AG796" s="177"/>
      <c r="AH796" s="177"/>
      <c r="AI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  <c r="AE797" s="177"/>
      <c r="AF797" s="177"/>
      <c r="AG797" s="177"/>
      <c r="AH797" s="177"/>
      <c r="AI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  <c r="AE798" s="177"/>
      <c r="AF798" s="177"/>
      <c r="AG798" s="177"/>
      <c r="AH798" s="177"/>
      <c r="AI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  <c r="AE799" s="177"/>
      <c r="AF799" s="177"/>
      <c r="AG799" s="177"/>
      <c r="AH799" s="177"/>
      <c r="AI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  <c r="AE800" s="177"/>
      <c r="AF800" s="177"/>
      <c r="AG800" s="177"/>
      <c r="AH800" s="177"/>
      <c r="AI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  <c r="AE801" s="177"/>
      <c r="AF801" s="177"/>
      <c r="AG801" s="177"/>
      <c r="AH801" s="177"/>
      <c r="AI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  <c r="AE802" s="177"/>
      <c r="AF802" s="177"/>
      <c r="AG802" s="177"/>
      <c r="AH802" s="177"/>
      <c r="AI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  <c r="AE803" s="177"/>
      <c r="AF803" s="177"/>
      <c r="AG803" s="177"/>
      <c r="AH803" s="177"/>
      <c r="AI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  <c r="AE804" s="177"/>
      <c r="AF804" s="177"/>
      <c r="AG804" s="177"/>
      <c r="AH804" s="177"/>
      <c r="AI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  <c r="AE805" s="177"/>
      <c r="AF805" s="177"/>
      <c r="AG805" s="177"/>
      <c r="AH805" s="177"/>
      <c r="AI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  <c r="AE806" s="177"/>
      <c r="AF806" s="177"/>
      <c r="AG806" s="177"/>
      <c r="AH806" s="177"/>
      <c r="AI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  <c r="AE807" s="177"/>
      <c r="AF807" s="177"/>
      <c r="AG807" s="177"/>
      <c r="AH807" s="177"/>
      <c r="AI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  <c r="AE808" s="177"/>
      <c r="AF808" s="177"/>
      <c r="AG808" s="177"/>
      <c r="AH808" s="177"/>
      <c r="AI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  <c r="AE809" s="177"/>
      <c r="AF809" s="177"/>
      <c r="AG809" s="177"/>
      <c r="AH809" s="177"/>
      <c r="AI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  <c r="AE810" s="177"/>
      <c r="AF810" s="177"/>
      <c r="AG810" s="177"/>
      <c r="AH810" s="177"/>
      <c r="AI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  <c r="AE811" s="177"/>
      <c r="AF811" s="177"/>
      <c r="AG811" s="177"/>
      <c r="AH811" s="177"/>
      <c r="AI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  <c r="AE812" s="177"/>
      <c r="AF812" s="177"/>
      <c r="AG812" s="177"/>
      <c r="AH812" s="177"/>
      <c r="AI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  <c r="AE813" s="177"/>
      <c r="AF813" s="177"/>
      <c r="AG813" s="177"/>
      <c r="AH813" s="177"/>
      <c r="AI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  <c r="AE814" s="177"/>
      <c r="AF814" s="177"/>
      <c r="AG814" s="177"/>
      <c r="AH814" s="177"/>
      <c r="AI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  <c r="AE815" s="177"/>
      <c r="AF815" s="177"/>
      <c r="AG815" s="177"/>
      <c r="AH815" s="177"/>
      <c r="AI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  <c r="AE816" s="177"/>
      <c r="AF816" s="177"/>
      <c r="AG816" s="177"/>
      <c r="AH816" s="177"/>
      <c r="AI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  <c r="AE817" s="177"/>
      <c r="AF817" s="177"/>
      <c r="AG817" s="177"/>
      <c r="AH817" s="177"/>
      <c r="AI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  <c r="AE818" s="177"/>
      <c r="AF818" s="177"/>
      <c r="AG818" s="177"/>
      <c r="AH818" s="177"/>
      <c r="AI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  <c r="AE819" s="177"/>
      <c r="AF819" s="177"/>
      <c r="AG819" s="177"/>
      <c r="AH819" s="177"/>
      <c r="AI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  <c r="AE820" s="177"/>
      <c r="AF820" s="177"/>
      <c r="AG820" s="177"/>
      <c r="AH820" s="177"/>
      <c r="AI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  <c r="AE821" s="177"/>
      <c r="AF821" s="177"/>
      <c r="AG821" s="177"/>
      <c r="AH821" s="177"/>
      <c r="AI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  <c r="AE822" s="177"/>
      <c r="AF822" s="177"/>
      <c r="AG822" s="177"/>
      <c r="AH822" s="177"/>
      <c r="AI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  <c r="AE823" s="177"/>
      <c r="AF823" s="177"/>
      <c r="AG823" s="177"/>
      <c r="AH823" s="177"/>
      <c r="AI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  <c r="AE824" s="177"/>
      <c r="AF824" s="177"/>
      <c r="AG824" s="177"/>
      <c r="AH824" s="177"/>
      <c r="AI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  <c r="AE825" s="177"/>
      <c r="AF825" s="177"/>
      <c r="AG825" s="177"/>
      <c r="AH825" s="177"/>
      <c r="AI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  <c r="AE826" s="177"/>
      <c r="AF826" s="177"/>
      <c r="AG826" s="177"/>
      <c r="AH826" s="177"/>
      <c r="AI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  <c r="AE827" s="177"/>
      <c r="AF827" s="177"/>
      <c r="AG827" s="177"/>
      <c r="AH827" s="177"/>
      <c r="AI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  <c r="AE828" s="177"/>
      <c r="AF828" s="177"/>
      <c r="AG828" s="177"/>
      <c r="AH828" s="177"/>
      <c r="AI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  <c r="AE829" s="177"/>
      <c r="AF829" s="177"/>
      <c r="AG829" s="177"/>
      <c r="AH829" s="177"/>
      <c r="AI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  <c r="AE830" s="177"/>
      <c r="AF830" s="177"/>
      <c r="AG830" s="177"/>
      <c r="AH830" s="177"/>
      <c r="AI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  <c r="AE831" s="177"/>
      <c r="AF831" s="177"/>
      <c r="AG831" s="177"/>
      <c r="AH831" s="177"/>
      <c r="AI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  <c r="AE832" s="177"/>
      <c r="AF832" s="177"/>
      <c r="AG832" s="177"/>
      <c r="AH832" s="177"/>
      <c r="AI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  <c r="AE833" s="177"/>
      <c r="AF833" s="177"/>
      <c r="AG833" s="177"/>
      <c r="AH833" s="177"/>
      <c r="AI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  <c r="AE834" s="177"/>
      <c r="AF834" s="177"/>
      <c r="AG834" s="177"/>
      <c r="AH834" s="177"/>
      <c r="AI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  <c r="AE835" s="177"/>
      <c r="AF835" s="177"/>
      <c r="AG835" s="177"/>
      <c r="AH835" s="177"/>
      <c r="AI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  <c r="AE836" s="177"/>
      <c r="AF836" s="177"/>
      <c r="AG836" s="177"/>
      <c r="AH836" s="177"/>
      <c r="AI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  <c r="AE837" s="177"/>
      <c r="AF837" s="177"/>
      <c r="AG837" s="177"/>
      <c r="AH837" s="177"/>
      <c r="AI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  <c r="AE838" s="177"/>
      <c r="AF838" s="177"/>
      <c r="AG838" s="177"/>
      <c r="AH838" s="177"/>
      <c r="AI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  <c r="AE839" s="177"/>
      <c r="AF839" s="177"/>
      <c r="AG839" s="177"/>
      <c r="AH839" s="177"/>
      <c r="AI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  <c r="AE840" s="177"/>
      <c r="AF840" s="177"/>
      <c r="AG840" s="177"/>
      <c r="AH840" s="177"/>
      <c r="AI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  <c r="AE841" s="177"/>
      <c r="AF841" s="177"/>
      <c r="AG841" s="177"/>
      <c r="AH841" s="177"/>
      <c r="AI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  <c r="AE842" s="177"/>
      <c r="AF842" s="177"/>
      <c r="AG842" s="177"/>
      <c r="AH842" s="177"/>
      <c r="AI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  <c r="AE843" s="177"/>
      <c r="AF843" s="177"/>
      <c r="AG843" s="177"/>
      <c r="AH843" s="177"/>
      <c r="AI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  <c r="AE844" s="177"/>
      <c r="AF844" s="177"/>
      <c r="AG844" s="177"/>
      <c r="AH844" s="177"/>
      <c r="AI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  <c r="AE845" s="177"/>
      <c r="AF845" s="177"/>
      <c r="AG845" s="177"/>
      <c r="AH845" s="177"/>
      <c r="AI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  <c r="AE846" s="177"/>
      <c r="AF846" s="177"/>
      <c r="AG846" s="177"/>
      <c r="AH846" s="177"/>
      <c r="AI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  <c r="AE847" s="177"/>
      <c r="AF847" s="177"/>
      <c r="AG847" s="177"/>
      <c r="AH847" s="177"/>
      <c r="AI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  <c r="AE848" s="177"/>
      <c r="AF848" s="177"/>
      <c r="AG848" s="177"/>
      <c r="AH848" s="177"/>
      <c r="AI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  <c r="AE849" s="177"/>
      <c r="AF849" s="177"/>
      <c r="AG849" s="177"/>
      <c r="AH849" s="177"/>
      <c r="AI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  <c r="AE850" s="177"/>
      <c r="AF850" s="177"/>
      <c r="AG850" s="177"/>
      <c r="AH850" s="177"/>
      <c r="AI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  <c r="AE851" s="177"/>
      <c r="AF851" s="177"/>
      <c r="AG851" s="177"/>
      <c r="AH851" s="177"/>
      <c r="AI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  <c r="AE852" s="177"/>
      <c r="AF852" s="177"/>
      <c r="AG852" s="177"/>
      <c r="AH852" s="177"/>
      <c r="AI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  <c r="AE853" s="177"/>
      <c r="AF853" s="177"/>
      <c r="AG853" s="177"/>
      <c r="AH853" s="177"/>
      <c r="AI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  <c r="AE854" s="177"/>
      <c r="AF854" s="177"/>
      <c r="AG854" s="177"/>
      <c r="AH854" s="177"/>
      <c r="AI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  <c r="AE855" s="177"/>
      <c r="AF855" s="177"/>
      <c r="AG855" s="177"/>
      <c r="AH855" s="177"/>
      <c r="AI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  <c r="AE856" s="177"/>
      <c r="AF856" s="177"/>
      <c r="AG856" s="177"/>
      <c r="AH856" s="177"/>
      <c r="AI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  <c r="AE857" s="177"/>
      <c r="AF857" s="177"/>
      <c r="AG857" s="177"/>
      <c r="AH857" s="177"/>
      <c r="AI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  <c r="AE858" s="177"/>
      <c r="AF858" s="177"/>
      <c r="AG858" s="177"/>
      <c r="AH858" s="177"/>
      <c r="AI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  <c r="AE859" s="177"/>
      <c r="AF859" s="177"/>
      <c r="AG859" s="177"/>
      <c r="AH859" s="177"/>
      <c r="AI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  <c r="AE860" s="177"/>
      <c r="AF860" s="177"/>
      <c r="AG860" s="177"/>
      <c r="AH860" s="177"/>
      <c r="AI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  <c r="AE861" s="177"/>
      <c r="AF861" s="177"/>
      <c r="AG861" s="177"/>
      <c r="AH861" s="177"/>
      <c r="AI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  <c r="AE862" s="177"/>
      <c r="AF862" s="177"/>
      <c r="AG862" s="177"/>
      <c r="AH862" s="177"/>
      <c r="AI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  <c r="AE863" s="177"/>
      <c r="AF863" s="177"/>
      <c r="AG863" s="177"/>
      <c r="AH863" s="177"/>
      <c r="AI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  <c r="AE864" s="177"/>
      <c r="AF864" s="177"/>
      <c r="AG864" s="177"/>
      <c r="AH864" s="177"/>
      <c r="AI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  <c r="AE865" s="177"/>
      <c r="AF865" s="177"/>
      <c r="AG865" s="177"/>
      <c r="AH865" s="177"/>
      <c r="AI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  <c r="AE866" s="177"/>
      <c r="AF866" s="177"/>
      <c r="AG866" s="177"/>
      <c r="AH866" s="177"/>
      <c r="AI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  <c r="AE867" s="177"/>
      <c r="AF867" s="177"/>
      <c r="AG867" s="177"/>
      <c r="AH867" s="177"/>
      <c r="AI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  <c r="AE868" s="177"/>
      <c r="AF868" s="177"/>
      <c r="AG868" s="177"/>
      <c r="AH868" s="177"/>
      <c r="AI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  <c r="AE869" s="177"/>
      <c r="AF869" s="177"/>
      <c r="AG869" s="177"/>
      <c r="AH869" s="177"/>
      <c r="AI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  <c r="AE870" s="177"/>
      <c r="AF870" s="177"/>
      <c r="AG870" s="177"/>
      <c r="AH870" s="177"/>
      <c r="AI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  <c r="AE871" s="177"/>
      <c r="AF871" s="177"/>
      <c r="AG871" s="177"/>
      <c r="AH871" s="177"/>
      <c r="AI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  <c r="AE872" s="177"/>
      <c r="AF872" s="177"/>
      <c r="AG872" s="177"/>
      <c r="AH872" s="177"/>
      <c r="AI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  <c r="AE873" s="177"/>
      <c r="AF873" s="177"/>
      <c r="AG873" s="177"/>
      <c r="AH873" s="177"/>
      <c r="AI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  <c r="AE874" s="177"/>
      <c r="AF874" s="177"/>
      <c r="AG874" s="177"/>
      <c r="AH874" s="177"/>
      <c r="AI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  <c r="AE875" s="177"/>
      <c r="AF875" s="177"/>
      <c r="AG875" s="177"/>
      <c r="AH875" s="177"/>
      <c r="AI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  <c r="AE876" s="177"/>
      <c r="AF876" s="177"/>
      <c r="AG876" s="177"/>
      <c r="AH876" s="177"/>
      <c r="AI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  <c r="AE877" s="177"/>
      <c r="AF877" s="177"/>
      <c r="AG877" s="177"/>
      <c r="AH877" s="177"/>
      <c r="AI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  <c r="AE878" s="177"/>
      <c r="AF878" s="177"/>
      <c r="AG878" s="177"/>
      <c r="AH878" s="177"/>
      <c r="AI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  <c r="AE879" s="177"/>
      <c r="AF879" s="177"/>
      <c r="AG879" s="177"/>
      <c r="AH879" s="177"/>
      <c r="AI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  <c r="AE880" s="177"/>
      <c r="AF880" s="177"/>
      <c r="AG880" s="177"/>
      <c r="AH880" s="177"/>
      <c r="AI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  <c r="AE881" s="177"/>
      <c r="AF881" s="177"/>
      <c r="AG881" s="177"/>
      <c r="AH881" s="177"/>
      <c r="AI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  <c r="AE882" s="177"/>
      <c r="AF882" s="177"/>
      <c r="AG882" s="177"/>
      <c r="AH882" s="177"/>
      <c r="AI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  <c r="AE883" s="177"/>
      <c r="AF883" s="177"/>
      <c r="AG883" s="177"/>
      <c r="AH883" s="177"/>
      <c r="AI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  <c r="AE884" s="177"/>
      <c r="AF884" s="177"/>
      <c r="AG884" s="177"/>
      <c r="AH884" s="177"/>
      <c r="AI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  <c r="AE885" s="177"/>
      <c r="AF885" s="177"/>
      <c r="AG885" s="177"/>
      <c r="AH885" s="177"/>
      <c r="AI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  <c r="AE886" s="177"/>
      <c r="AF886" s="177"/>
      <c r="AG886" s="177"/>
      <c r="AH886" s="177"/>
      <c r="AI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  <c r="AE887" s="177"/>
      <c r="AF887" s="177"/>
      <c r="AG887" s="177"/>
      <c r="AH887" s="177"/>
      <c r="AI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  <c r="AE888" s="177"/>
      <c r="AF888" s="177"/>
      <c r="AG888" s="177"/>
      <c r="AH888" s="177"/>
      <c r="AI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  <c r="AE889" s="177"/>
      <c r="AF889" s="177"/>
      <c r="AG889" s="177"/>
      <c r="AH889" s="177"/>
      <c r="AI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  <c r="AE890" s="177"/>
      <c r="AF890" s="177"/>
      <c r="AG890" s="177"/>
      <c r="AH890" s="177"/>
      <c r="AI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  <c r="AE891" s="177"/>
      <c r="AF891" s="177"/>
      <c r="AG891" s="177"/>
      <c r="AH891" s="177"/>
      <c r="AI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  <c r="AE892" s="177"/>
      <c r="AF892" s="177"/>
      <c r="AG892" s="177"/>
      <c r="AH892" s="177"/>
      <c r="AI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  <c r="AE893" s="177"/>
      <c r="AF893" s="177"/>
      <c r="AG893" s="177"/>
      <c r="AH893" s="177"/>
      <c r="AI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  <c r="AE894" s="177"/>
      <c r="AF894" s="177"/>
      <c r="AG894" s="177"/>
      <c r="AH894" s="177"/>
      <c r="AI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  <c r="AE895" s="177"/>
      <c r="AF895" s="177"/>
      <c r="AG895" s="177"/>
      <c r="AH895" s="177"/>
      <c r="AI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  <c r="AE896" s="177"/>
      <c r="AF896" s="177"/>
      <c r="AG896" s="177"/>
      <c r="AH896" s="177"/>
      <c r="AI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  <c r="AE897" s="177"/>
      <c r="AF897" s="177"/>
      <c r="AG897" s="177"/>
      <c r="AH897" s="177"/>
      <c r="AI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  <c r="AE898" s="177"/>
      <c r="AF898" s="177"/>
      <c r="AG898" s="177"/>
      <c r="AH898" s="177"/>
      <c r="AI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  <c r="AE899" s="177"/>
      <c r="AF899" s="177"/>
      <c r="AG899" s="177"/>
      <c r="AH899" s="177"/>
      <c r="AI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  <c r="AE900" s="177"/>
      <c r="AF900" s="177"/>
      <c r="AG900" s="177"/>
      <c r="AH900" s="177"/>
      <c r="AI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  <c r="AE901" s="177"/>
      <c r="AF901" s="177"/>
      <c r="AG901" s="177"/>
      <c r="AH901" s="177"/>
      <c r="AI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  <c r="AE902" s="177"/>
      <c r="AF902" s="177"/>
      <c r="AG902" s="177"/>
      <c r="AH902" s="177"/>
      <c r="AI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  <c r="AE903" s="177"/>
      <c r="AF903" s="177"/>
      <c r="AG903" s="177"/>
      <c r="AH903" s="177"/>
      <c r="AI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  <c r="AE904" s="177"/>
      <c r="AF904" s="177"/>
      <c r="AG904" s="177"/>
      <c r="AH904" s="177"/>
      <c r="AI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  <c r="AE905" s="177"/>
      <c r="AF905" s="177"/>
      <c r="AG905" s="177"/>
      <c r="AH905" s="177"/>
      <c r="AI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  <c r="AE906" s="177"/>
      <c r="AF906" s="177"/>
      <c r="AG906" s="177"/>
      <c r="AH906" s="177"/>
      <c r="AI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  <c r="AE907" s="177"/>
      <c r="AF907" s="177"/>
      <c r="AG907" s="177"/>
      <c r="AH907" s="177"/>
      <c r="AI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  <c r="AE908" s="177"/>
      <c r="AF908" s="177"/>
      <c r="AG908" s="177"/>
      <c r="AH908" s="177"/>
      <c r="AI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  <c r="AE909" s="177"/>
      <c r="AF909" s="177"/>
      <c r="AG909" s="177"/>
      <c r="AH909" s="177"/>
      <c r="AI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  <c r="AE910" s="177"/>
      <c r="AF910" s="177"/>
      <c r="AG910" s="177"/>
      <c r="AH910" s="177"/>
      <c r="AI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  <c r="AE911" s="177"/>
      <c r="AF911" s="177"/>
      <c r="AG911" s="177"/>
      <c r="AH911" s="177"/>
      <c r="AI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  <c r="AE912" s="177"/>
      <c r="AF912" s="177"/>
      <c r="AG912" s="177"/>
      <c r="AH912" s="177"/>
      <c r="AI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  <c r="AE913" s="177"/>
      <c r="AF913" s="177"/>
      <c r="AG913" s="177"/>
      <c r="AH913" s="177"/>
      <c r="AI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  <c r="AE914" s="177"/>
      <c r="AF914" s="177"/>
      <c r="AG914" s="177"/>
      <c r="AH914" s="177"/>
      <c r="AI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  <c r="AE915" s="177"/>
      <c r="AF915" s="177"/>
      <c r="AG915" s="177"/>
      <c r="AH915" s="177"/>
      <c r="AI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  <c r="AE916" s="177"/>
      <c r="AF916" s="177"/>
      <c r="AG916" s="177"/>
      <c r="AH916" s="177"/>
      <c r="AI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  <c r="AE917" s="177"/>
      <c r="AF917" s="177"/>
      <c r="AG917" s="177"/>
      <c r="AH917" s="177"/>
      <c r="AI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  <c r="AE918" s="177"/>
      <c r="AF918" s="177"/>
      <c r="AG918" s="177"/>
      <c r="AH918" s="177"/>
      <c r="AI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  <c r="AE919" s="177"/>
      <c r="AF919" s="177"/>
      <c r="AG919" s="177"/>
      <c r="AH919" s="177"/>
      <c r="AI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  <c r="AE920" s="177"/>
      <c r="AF920" s="177"/>
      <c r="AG920" s="177"/>
      <c r="AH920" s="177"/>
      <c r="AI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  <c r="AE921" s="177"/>
      <c r="AF921" s="177"/>
      <c r="AG921" s="177"/>
      <c r="AH921" s="177"/>
      <c r="AI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  <c r="AE922" s="177"/>
      <c r="AF922" s="177"/>
      <c r="AG922" s="177"/>
      <c r="AH922" s="177"/>
      <c r="AI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  <c r="AE923" s="177"/>
      <c r="AF923" s="177"/>
      <c r="AG923" s="177"/>
      <c r="AH923" s="177"/>
      <c r="AI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  <c r="AE924" s="177"/>
      <c r="AF924" s="177"/>
      <c r="AG924" s="177"/>
      <c r="AH924" s="177"/>
      <c r="AI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  <c r="AE925" s="177"/>
      <c r="AF925" s="177"/>
      <c r="AG925" s="177"/>
      <c r="AH925" s="177"/>
      <c r="AI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  <c r="AE926" s="177"/>
      <c r="AF926" s="177"/>
      <c r="AG926" s="177"/>
      <c r="AH926" s="177"/>
      <c r="AI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  <c r="AE927" s="177"/>
      <c r="AF927" s="177"/>
      <c r="AG927" s="177"/>
      <c r="AH927" s="177"/>
      <c r="AI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  <c r="AE928" s="177"/>
      <c r="AF928" s="177"/>
      <c r="AG928" s="177"/>
      <c r="AH928" s="177"/>
      <c r="AI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  <c r="AE929" s="177"/>
      <c r="AF929" s="177"/>
      <c r="AG929" s="177"/>
      <c r="AH929" s="177"/>
      <c r="AI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  <c r="AE930" s="177"/>
      <c r="AF930" s="177"/>
      <c r="AG930" s="177"/>
      <c r="AH930" s="177"/>
      <c r="AI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  <c r="AE931" s="177"/>
      <c r="AF931" s="177"/>
      <c r="AG931" s="177"/>
      <c r="AH931" s="177"/>
      <c r="AI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  <c r="AE932" s="177"/>
      <c r="AF932" s="177"/>
      <c r="AG932" s="177"/>
      <c r="AH932" s="177"/>
      <c r="AI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  <c r="AE933" s="177"/>
      <c r="AF933" s="177"/>
      <c r="AG933" s="177"/>
      <c r="AH933" s="177"/>
      <c r="AI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  <c r="AE934" s="177"/>
      <c r="AF934" s="177"/>
      <c r="AG934" s="177"/>
      <c r="AH934" s="177"/>
      <c r="AI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  <c r="AE935" s="177"/>
      <c r="AF935" s="177"/>
      <c r="AG935" s="177"/>
      <c r="AH935" s="177"/>
      <c r="AI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  <c r="AE936" s="177"/>
      <c r="AF936" s="177"/>
      <c r="AG936" s="177"/>
      <c r="AH936" s="177"/>
      <c r="AI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  <c r="AE937" s="177"/>
      <c r="AF937" s="177"/>
      <c r="AG937" s="177"/>
      <c r="AH937" s="177"/>
      <c r="AI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  <c r="AE938" s="177"/>
      <c r="AF938" s="177"/>
      <c r="AG938" s="177"/>
      <c r="AH938" s="177"/>
      <c r="AI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  <c r="AE939" s="177"/>
      <c r="AF939" s="177"/>
      <c r="AG939" s="177"/>
      <c r="AH939" s="177"/>
      <c r="AI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  <c r="AE940" s="177"/>
      <c r="AF940" s="177"/>
      <c r="AG940" s="177"/>
      <c r="AH940" s="177"/>
      <c r="AI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  <c r="AE941" s="177"/>
      <c r="AF941" s="177"/>
      <c r="AG941" s="177"/>
      <c r="AH941" s="177"/>
      <c r="AI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  <c r="AE942" s="177"/>
      <c r="AF942" s="177"/>
      <c r="AG942" s="177"/>
      <c r="AH942" s="177"/>
      <c r="AI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  <c r="AE943" s="177"/>
      <c r="AF943" s="177"/>
      <c r="AG943" s="177"/>
      <c r="AH943" s="177"/>
      <c r="AI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  <c r="AE944" s="177"/>
      <c r="AF944" s="177"/>
      <c r="AG944" s="177"/>
      <c r="AH944" s="177"/>
      <c r="AI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  <c r="AE945" s="177"/>
      <c r="AF945" s="177"/>
      <c r="AG945" s="177"/>
      <c r="AH945" s="177"/>
      <c r="AI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  <c r="AE946" s="177"/>
      <c r="AF946" s="177"/>
      <c r="AG946" s="177"/>
      <c r="AH946" s="177"/>
      <c r="AI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  <c r="AE947" s="177"/>
      <c r="AF947" s="177"/>
      <c r="AG947" s="177"/>
      <c r="AH947" s="177"/>
      <c r="AI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  <c r="AE948" s="177"/>
      <c r="AF948" s="177"/>
      <c r="AG948" s="177"/>
      <c r="AH948" s="177"/>
      <c r="AI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  <c r="AE949" s="177"/>
      <c r="AF949" s="177"/>
      <c r="AG949" s="177"/>
      <c r="AH949" s="177"/>
      <c r="AI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  <c r="AE950" s="177"/>
      <c r="AF950" s="177"/>
      <c r="AG950" s="177"/>
      <c r="AH950" s="177"/>
      <c r="AI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  <c r="AE951" s="177"/>
      <c r="AF951" s="177"/>
      <c r="AG951" s="177"/>
      <c r="AH951" s="177"/>
      <c r="AI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  <c r="AE952" s="177"/>
      <c r="AF952" s="177"/>
      <c r="AG952" s="177"/>
      <c r="AH952" s="177"/>
      <c r="AI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  <c r="AE953" s="177"/>
      <c r="AF953" s="177"/>
      <c r="AG953" s="177"/>
      <c r="AH953" s="177"/>
      <c r="AI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  <c r="AE954" s="177"/>
      <c r="AF954" s="177"/>
      <c r="AG954" s="177"/>
      <c r="AH954" s="177"/>
      <c r="AI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  <c r="AE955" s="177"/>
      <c r="AF955" s="177"/>
      <c r="AG955" s="177"/>
      <c r="AH955" s="177"/>
      <c r="AI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  <c r="AE956" s="177"/>
      <c r="AF956" s="177"/>
      <c r="AG956" s="177"/>
      <c r="AH956" s="177"/>
      <c r="AI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  <c r="AE957" s="177"/>
      <c r="AF957" s="177"/>
      <c r="AG957" s="177"/>
      <c r="AH957" s="177"/>
      <c r="AI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  <c r="AE958" s="177"/>
      <c r="AF958" s="177"/>
      <c r="AG958" s="177"/>
      <c r="AH958" s="177"/>
      <c r="AI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  <c r="AE959" s="177"/>
      <c r="AF959" s="177"/>
      <c r="AG959" s="177"/>
      <c r="AH959" s="177"/>
      <c r="AI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  <c r="AE960" s="177"/>
      <c r="AF960" s="177"/>
      <c r="AG960" s="177"/>
      <c r="AH960" s="177"/>
      <c r="AI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  <c r="AE961" s="177"/>
      <c r="AF961" s="177"/>
      <c r="AG961" s="177"/>
      <c r="AH961" s="177"/>
      <c r="AI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  <c r="AE962" s="177"/>
      <c r="AF962" s="177"/>
      <c r="AG962" s="177"/>
      <c r="AH962" s="177"/>
      <c r="AI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  <c r="AE963" s="177"/>
      <c r="AF963" s="177"/>
      <c r="AG963" s="177"/>
      <c r="AH963" s="177"/>
      <c r="AI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  <c r="AE964" s="177"/>
      <c r="AF964" s="177"/>
      <c r="AG964" s="177"/>
      <c r="AH964" s="177"/>
      <c r="AI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  <c r="AE965" s="177"/>
      <c r="AF965" s="177"/>
      <c r="AG965" s="177"/>
      <c r="AH965" s="177"/>
      <c r="AI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  <c r="AE966" s="177"/>
      <c r="AF966" s="177"/>
      <c r="AG966" s="177"/>
      <c r="AH966" s="177"/>
      <c r="AI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  <c r="AE967" s="177"/>
      <c r="AF967" s="177"/>
      <c r="AG967" s="177"/>
      <c r="AH967" s="177"/>
      <c r="AI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  <c r="AE968" s="177"/>
      <c r="AF968" s="177"/>
      <c r="AG968" s="177"/>
      <c r="AH968" s="177"/>
      <c r="AI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  <c r="AE969" s="177"/>
      <c r="AF969" s="177"/>
      <c r="AG969" s="177"/>
      <c r="AH969" s="177"/>
      <c r="AI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  <c r="AE970" s="177"/>
      <c r="AF970" s="177"/>
      <c r="AG970" s="177"/>
      <c r="AH970" s="177"/>
      <c r="AI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  <c r="AE971" s="177"/>
      <c r="AF971" s="177"/>
      <c r="AG971" s="177"/>
      <c r="AH971" s="177"/>
      <c r="AI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  <c r="AE972" s="177"/>
      <c r="AF972" s="177"/>
      <c r="AG972" s="177"/>
      <c r="AH972" s="177"/>
      <c r="AI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  <c r="AE973" s="177"/>
      <c r="AF973" s="177"/>
      <c r="AG973" s="177"/>
      <c r="AH973" s="177"/>
      <c r="AI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  <c r="AE974" s="177"/>
      <c r="AF974" s="177"/>
      <c r="AG974" s="177"/>
      <c r="AH974" s="177"/>
      <c r="AI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  <c r="AE975" s="177"/>
      <c r="AF975" s="177"/>
      <c r="AG975" s="177"/>
      <c r="AH975" s="177"/>
      <c r="AI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  <c r="AE976" s="177"/>
      <c r="AF976" s="177"/>
      <c r="AG976" s="177"/>
      <c r="AH976" s="177"/>
      <c r="AI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  <c r="AE977" s="177"/>
      <c r="AF977" s="177"/>
      <c r="AG977" s="177"/>
      <c r="AH977" s="177"/>
      <c r="AI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  <c r="AE978" s="177"/>
      <c r="AF978" s="177"/>
      <c r="AG978" s="177"/>
      <c r="AH978" s="177"/>
      <c r="AI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  <c r="AE979" s="177"/>
      <c r="AF979" s="177"/>
      <c r="AG979" s="177"/>
      <c r="AH979" s="177"/>
      <c r="AI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  <c r="AE980" s="177"/>
      <c r="AF980" s="177"/>
      <c r="AG980" s="177"/>
      <c r="AH980" s="177"/>
      <c r="AI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  <c r="AE981" s="177"/>
      <c r="AF981" s="177"/>
      <c r="AG981" s="177"/>
      <c r="AH981" s="177"/>
      <c r="AI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  <c r="AE982" s="177"/>
      <c r="AF982" s="177"/>
      <c r="AG982" s="177"/>
      <c r="AH982" s="177"/>
      <c r="AI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  <c r="AE983" s="177"/>
      <c r="AF983" s="177"/>
      <c r="AG983" s="177"/>
      <c r="AH983" s="177"/>
      <c r="AI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  <c r="AE984" s="177"/>
      <c r="AF984" s="177"/>
      <c r="AG984" s="177"/>
      <c r="AH984" s="177"/>
      <c r="AI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  <c r="AE985" s="177"/>
      <c r="AF985" s="177"/>
      <c r="AG985" s="177"/>
      <c r="AH985" s="177"/>
      <c r="AI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  <c r="AE986" s="177"/>
      <c r="AF986" s="177"/>
      <c r="AG986" s="177"/>
      <c r="AH986" s="177"/>
      <c r="AI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  <c r="AE987" s="177"/>
      <c r="AF987" s="177"/>
      <c r="AG987" s="177"/>
      <c r="AH987" s="177"/>
      <c r="AI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  <c r="AE988" s="177"/>
      <c r="AF988" s="177"/>
      <c r="AG988" s="177"/>
      <c r="AH988" s="177"/>
      <c r="AI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  <c r="AE989" s="177"/>
      <c r="AF989" s="177"/>
      <c r="AG989" s="177"/>
      <c r="AH989" s="177"/>
      <c r="AI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  <c r="AE990" s="177"/>
      <c r="AF990" s="177"/>
      <c r="AG990" s="177"/>
      <c r="AH990" s="177"/>
      <c r="AI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  <c r="AE991" s="177"/>
      <c r="AF991" s="177"/>
      <c r="AG991" s="177"/>
      <c r="AH991" s="177"/>
      <c r="AI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  <c r="AE992" s="177"/>
      <c r="AF992" s="177"/>
      <c r="AG992" s="177"/>
      <c r="AH992" s="177"/>
      <c r="AI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  <c r="AE993" s="177"/>
      <c r="AF993" s="177"/>
      <c r="AG993" s="177"/>
      <c r="AH993" s="177"/>
      <c r="AI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  <c r="AE994" s="177"/>
      <c r="AF994" s="177"/>
      <c r="AG994" s="177"/>
      <c r="AH994" s="177"/>
      <c r="AI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  <c r="AE995" s="177"/>
      <c r="AF995" s="177"/>
      <c r="AG995" s="177"/>
      <c r="AH995" s="177"/>
      <c r="AI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  <c r="AE996" s="177"/>
      <c r="AF996" s="177"/>
      <c r="AG996" s="177"/>
      <c r="AH996" s="177"/>
      <c r="AI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  <c r="AE997" s="177"/>
      <c r="AF997" s="177"/>
      <c r="AG997" s="177"/>
      <c r="AH997" s="177"/>
      <c r="AI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  <c r="AE998" s="177"/>
      <c r="AF998" s="177"/>
      <c r="AG998" s="177"/>
      <c r="AH998" s="177"/>
      <c r="AI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  <c r="AE999" s="177"/>
      <c r="AF999" s="177"/>
      <c r="AG999" s="177"/>
      <c r="AH999" s="177"/>
      <c r="AI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  <c r="AA1000" s="177"/>
      <c r="AB1000" s="177"/>
      <c r="AC1000" s="177"/>
      <c r="AD1000" s="177"/>
      <c r="AE1000" s="177"/>
      <c r="AF1000" s="177"/>
      <c r="AG1000" s="177"/>
      <c r="AH1000" s="177"/>
      <c r="AI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  <c r="AA1001" s="177"/>
      <c r="AB1001" s="177"/>
      <c r="AC1001" s="177"/>
      <c r="AD1001" s="177"/>
      <c r="AE1001" s="177"/>
      <c r="AF1001" s="177"/>
      <c r="AG1001" s="177"/>
      <c r="AH1001" s="177"/>
      <c r="AI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  <c r="AA1002" s="177"/>
      <c r="AB1002" s="177"/>
      <c r="AC1002" s="177"/>
      <c r="AD1002" s="177"/>
      <c r="AE1002" s="177"/>
      <c r="AF1002" s="177"/>
      <c r="AG1002" s="177"/>
      <c r="AH1002" s="177"/>
      <c r="AI1002" s="1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183" t="s">
        <v>1</v>
      </c>
      <c r="I1" s="184"/>
      <c r="J1" s="185" t="s">
        <v>214</v>
      </c>
    </row>
    <row r="2" ht="12.0" customHeight="1">
      <c r="A2" s="186"/>
      <c r="B2" s="187"/>
      <c r="C2" s="188"/>
      <c r="D2" s="187"/>
      <c r="E2" s="187"/>
      <c r="F2" s="187"/>
      <c r="G2" s="187"/>
      <c r="H2" s="187"/>
      <c r="I2" s="189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192"/>
    </row>
    <row r="4" ht="22.5" customHeight="1">
      <c r="A4" s="193"/>
      <c r="B4" s="194" t="str">
        <f>Year!B4</f>
        <v/>
      </c>
      <c r="C4" s="194" t="str">
        <f>Year!C4</f>
        <v/>
      </c>
      <c r="D4" s="194" t="str">
        <f>Year!D4</f>
        <v/>
      </c>
      <c r="E4" s="194" t="str">
        <f>Year!E4</f>
        <v/>
      </c>
      <c r="F4" s="194">
        <f>Year!F4</f>
        <v>1</v>
      </c>
      <c r="G4" s="194">
        <f>Year!G4</f>
        <v>2</v>
      </c>
      <c r="H4" s="194">
        <f>Year!H4</f>
        <v>3</v>
      </c>
      <c r="I4" s="195"/>
    </row>
    <row r="5" ht="52.5" customHeight="1">
      <c r="A5" s="193"/>
      <c r="B5" s="196"/>
      <c r="C5" s="196"/>
      <c r="D5" s="196"/>
      <c r="E5" s="197"/>
      <c r="F5" s="197"/>
      <c r="G5" s="197"/>
      <c r="H5" s="197"/>
      <c r="I5" s="195"/>
    </row>
    <row r="6" ht="22.5" customHeight="1">
      <c r="A6" s="193"/>
      <c r="B6" s="198">
        <f>Year!B5</f>
        <v>4</v>
      </c>
      <c r="C6" s="198">
        <f>Year!C5</f>
        <v>5</v>
      </c>
      <c r="D6" s="198">
        <f>Year!D5</f>
        <v>6</v>
      </c>
      <c r="E6" s="198">
        <f>Year!E5</f>
        <v>7</v>
      </c>
      <c r="F6" s="198">
        <f>Year!F5</f>
        <v>8</v>
      </c>
      <c r="G6" s="198">
        <f>Year!G5</f>
        <v>9</v>
      </c>
      <c r="H6" s="198">
        <f>Year!H5</f>
        <v>10</v>
      </c>
      <c r="I6" s="195"/>
    </row>
    <row r="7" ht="52.5" customHeight="1">
      <c r="A7" s="193"/>
      <c r="B7" s="199"/>
      <c r="C7" s="199"/>
      <c r="D7" s="199"/>
      <c r="E7" s="200" t="s">
        <v>222</v>
      </c>
      <c r="F7" s="200"/>
      <c r="G7" s="200" t="s">
        <v>151</v>
      </c>
      <c r="H7" s="200" t="s">
        <v>200</v>
      </c>
      <c r="I7" s="195"/>
    </row>
    <row r="8" ht="22.5" customHeight="1">
      <c r="A8" s="193"/>
      <c r="B8" s="198">
        <f>Year!B6</f>
        <v>11</v>
      </c>
      <c r="C8" s="198">
        <f>Year!C6</f>
        <v>12</v>
      </c>
      <c r="D8" s="198">
        <f>Year!D6</f>
        <v>13</v>
      </c>
      <c r="E8" s="198">
        <f>Year!E6</f>
        <v>14</v>
      </c>
      <c r="F8" s="198">
        <f>Year!F6</f>
        <v>15</v>
      </c>
      <c r="G8" s="198">
        <f>Year!G6</f>
        <v>16</v>
      </c>
      <c r="H8" s="198">
        <f>Year!H6</f>
        <v>17</v>
      </c>
      <c r="I8" s="195"/>
    </row>
    <row r="9" ht="52.5" customHeight="1">
      <c r="A9" s="193"/>
      <c r="B9" s="200" t="s">
        <v>223</v>
      </c>
      <c r="C9" s="200" t="s">
        <v>224</v>
      </c>
      <c r="D9" s="200" t="s">
        <v>136</v>
      </c>
      <c r="E9" s="201"/>
      <c r="F9" s="201"/>
      <c r="G9" s="200" t="s">
        <v>152</v>
      </c>
      <c r="H9" s="200"/>
      <c r="I9" s="195"/>
    </row>
    <row r="10" ht="22.5" customHeight="1">
      <c r="A10" s="193"/>
      <c r="B10" s="198">
        <f>Year!B7</f>
        <v>18</v>
      </c>
      <c r="C10" s="198">
        <f>Year!C7</f>
        <v>19</v>
      </c>
      <c r="D10" s="198">
        <f>Year!D7</f>
        <v>20</v>
      </c>
      <c r="E10" s="198">
        <f>Year!E7</f>
        <v>21</v>
      </c>
      <c r="F10" s="198">
        <f>Year!F7</f>
        <v>22</v>
      </c>
      <c r="G10" s="198">
        <f>Year!G7</f>
        <v>23</v>
      </c>
      <c r="H10" s="198">
        <f>Year!H7</f>
        <v>24</v>
      </c>
      <c r="I10" s="195"/>
    </row>
    <row r="11" ht="52.5" customHeight="1">
      <c r="A11" s="193"/>
      <c r="B11" s="200" t="s">
        <v>225</v>
      </c>
      <c r="C11" s="200" t="s">
        <v>136</v>
      </c>
      <c r="D11" s="202"/>
      <c r="E11" s="202"/>
      <c r="F11" s="202"/>
      <c r="G11" s="200" t="s">
        <v>151</v>
      </c>
      <c r="H11" s="200" t="s">
        <v>200</v>
      </c>
      <c r="I11" s="195"/>
    </row>
    <row r="12" ht="22.5" customHeight="1">
      <c r="A12" s="193"/>
      <c r="B12" s="198">
        <f>Year!B8</f>
        <v>25</v>
      </c>
      <c r="C12" s="198">
        <f>Year!C8</f>
        <v>26</v>
      </c>
      <c r="D12" s="198">
        <f>Year!D8</f>
        <v>27</v>
      </c>
      <c r="E12" s="198">
        <f>Year!E8</f>
        <v>28</v>
      </c>
      <c r="F12" s="198">
        <f>Year!F8</f>
        <v>29</v>
      </c>
      <c r="G12" s="198">
        <f>Year!G8</f>
        <v>30</v>
      </c>
      <c r="H12" s="198">
        <f>Year!H8</f>
        <v>31</v>
      </c>
      <c r="I12" s="195"/>
    </row>
    <row r="13" ht="52.5" customHeight="1">
      <c r="A13" s="193"/>
      <c r="B13" s="200" t="s">
        <v>223</v>
      </c>
      <c r="C13" s="200" t="s">
        <v>224</v>
      </c>
      <c r="D13" s="200" t="s">
        <v>136</v>
      </c>
      <c r="E13" s="201"/>
      <c r="F13" s="201"/>
      <c r="G13" s="200" t="s">
        <v>152</v>
      </c>
      <c r="H13" s="201"/>
      <c r="I13" s="195"/>
    </row>
    <row r="14" ht="22.5" customHeight="1">
      <c r="A14" s="193"/>
      <c r="B14" s="194" t="str">
        <f>Year!B9</f>
        <v/>
      </c>
      <c r="C14" s="194" t="str">
        <f>Year!C9</f>
        <v/>
      </c>
      <c r="D14" s="194" t="str">
        <f>Year!D9</f>
        <v/>
      </c>
      <c r="E14" s="194" t="str">
        <f>Year!E9</f>
        <v/>
      </c>
      <c r="F14" s="194" t="str">
        <f>Year!F9</f>
        <v/>
      </c>
      <c r="G14" s="194" t="str">
        <f>Year!G9</f>
        <v/>
      </c>
      <c r="H14" s="194" t="str">
        <f>Year!H9</f>
        <v/>
      </c>
      <c r="I14" s="203"/>
    </row>
    <row r="15" ht="52.5" customHeight="1">
      <c r="A15" s="193"/>
      <c r="B15" s="204"/>
      <c r="C15" s="204"/>
      <c r="D15" s="204"/>
      <c r="E15" s="204"/>
      <c r="F15" s="204"/>
      <c r="G15" s="204"/>
      <c r="H15" s="204"/>
      <c r="I15" s="203"/>
    </row>
    <row r="16" ht="22.5" customHeight="1">
      <c r="A16" s="193"/>
      <c r="B16" s="205" t="s">
        <v>151</v>
      </c>
      <c r="C16" s="206" t="s">
        <v>201</v>
      </c>
      <c r="D16" s="205" t="s">
        <v>152</v>
      </c>
      <c r="E16" s="206" t="s">
        <v>201</v>
      </c>
      <c r="F16" s="205" t="s">
        <v>146</v>
      </c>
      <c r="G16" s="206" t="s">
        <v>201</v>
      </c>
      <c r="H16" s="207" t="s">
        <v>136</v>
      </c>
      <c r="I16" s="203"/>
    </row>
    <row r="17" ht="22.5" customHeight="1">
      <c r="A17" s="190"/>
      <c r="B17" s="208" t="s">
        <v>226</v>
      </c>
      <c r="C17" s="209">
        <v>2.0</v>
      </c>
      <c r="D17" s="208" t="s">
        <v>226</v>
      </c>
      <c r="E17" s="210" t="s">
        <v>226</v>
      </c>
      <c r="F17" s="208" t="s">
        <v>226</v>
      </c>
      <c r="G17" s="210" t="s">
        <v>226</v>
      </c>
      <c r="H17" s="211" t="s">
        <v>227</v>
      </c>
      <c r="I17" s="19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</row>
    <row r="18" ht="22.5" customHeight="1">
      <c r="A18" s="193"/>
      <c r="B18" s="213"/>
      <c r="I18" s="195"/>
    </row>
    <row r="19" ht="22.5" customHeight="1">
      <c r="A19" s="193"/>
      <c r="I19" s="20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J1:J19"/>
    <mergeCell ref="B18:H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15" t="s">
        <v>2</v>
      </c>
      <c r="I1" s="216"/>
      <c r="J1" s="217" t="s">
        <v>228</v>
      </c>
    </row>
    <row r="2" ht="12.0" customHeight="1">
      <c r="A2" s="218"/>
      <c r="B2" s="219"/>
      <c r="C2" s="219"/>
      <c r="D2" s="219"/>
      <c r="E2" s="219"/>
      <c r="F2" s="219"/>
      <c r="G2" s="219"/>
      <c r="H2" s="219"/>
      <c r="I2" s="220"/>
    </row>
    <row r="3" ht="30.0" customHeight="1">
      <c r="A3" s="221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23"/>
    </row>
    <row r="4" ht="22.5" customHeight="1">
      <c r="A4" s="224"/>
      <c r="B4" s="225">
        <f>Year!J4</f>
        <v>1</v>
      </c>
      <c r="C4" s="225">
        <f>Year!K4</f>
        <v>2</v>
      </c>
      <c r="D4" s="225">
        <f>Year!L4</f>
        <v>3</v>
      </c>
      <c r="E4" s="225">
        <f>Year!M4</f>
        <v>4</v>
      </c>
      <c r="F4" s="225">
        <f>Year!N4</f>
        <v>5</v>
      </c>
      <c r="G4" s="225">
        <f>Year!O4</f>
        <v>6</v>
      </c>
      <c r="H4" s="225">
        <f>Year!P4</f>
        <v>7</v>
      </c>
      <c r="I4" s="226"/>
    </row>
    <row r="5" ht="52.5" customHeight="1">
      <c r="A5" s="224"/>
      <c r="B5" s="227"/>
      <c r="C5" s="227"/>
      <c r="D5" s="227"/>
      <c r="E5" s="227"/>
      <c r="F5" s="227"/>
      <c r="G5" s="227"/>
      <c r="H5" s="227"/>
      <c r="I5" s="226"/>
    </row>
    <row r="6" ht="22.5" customHeight="1">
      <c r="A6" s="224"/>
      <c r="B6" s="225">
        <f>Year!J5</f>
        <v>8</v>
      </c>
      <c r="C6" s="225">
        <f>Year!K5</f>
        <v>9</v>
      </c>
      <c r="D6" s="225">
        <f>Year!L5</f>
        <v>10</v>
      </c>
      <c r="E6" s="225">
        <f>Year!M5</f>
        <v>11</v>
      </c>
      <c r="F6" s="225">
        <f>Year!N5</f>
        <v>12</v>
      </c>
      <c r="G6" s="225">
        <f>Year!O5</f>
        <v>13</v>
      </c>
      <c r="H6" s="225">
        <f>Year!P5</f>
        <v>14</v>
      </c>
      <c r="I6" s="226"/>
    </row>
    <row r="7" ht="52.5" customHeight="1">
      <c r="A7" s="224"/>
      <c r="B7" s="228" t="s">
        <v>225</v>
      </c>
      <c r="C7" s="228" t="s">
        <v>136</v>
      </c>
      <c r="D7" s="227"/>
      <c r="E7" s="227"/>
      <c r="F7" s="227"/>
      <c r="G7" s="228" t="s">
        <v>229</v>
      </c>
      <c r="H7" s="228"/>
      <c r="I7" s="226"/>
    </row>
    <row r="8" ht="22.5" customHeight="1">
      <c r="A8" s="224"/>
      <c r="B8" s="225">
        <f>Year!J6</f>
        <v>15</v>
      </c>
      <c r="C8" s="225">
        <f>Year!K6</f>
        <v>16</v>
      </c>
      <c r="D8" s="225">
        <f>Year!L6</f>
        <v>17</v>
      </c>
      <c r="E8" s="225">
        <f>Year!M6</f>
        <v>18</v>
      </c>
      <c r="F8" s="225">
        <f>Year!N6</f>
        <v>19</v>
      </c>
      <c r="G8" s="225">
        <f>Year!O6</f>
        <v>20</v>
      </c>
      <c r="H8" s="225">
        <f>Year!P6</f>
        <v>21</v>
      </c>
      <c r="I8" s="226"/>
    </row>
    <row r="9" ht="52.5" customHeight="1">
      <c r="A9" s="224"/>
      <c r="B9" s="228"/>
      <c r="C9" s="229"/>
      <c r="D9" s="227"/>
      <c r="E9" s="227"/>
      <c r="F9" s="227"/>
      <c r="G9" s="227"/>
      <c r="H9" s="227"/>
      <c r="I9" s="226"/>
    </row>
    <row r="10" ht="22.5" customHeight="1">
      <c r="A10" s="224"/>
      <c r="B10" s="225">
        <f>Year!J7</f>
        <v>22</v>
      </c>
      <c r="C10" s="225">
        <f>Year!K7</f>
        <v>23</v>
      </c>
      <c r="D10" s="225">
        <f>Year!L7</f>
        <v>24</v>
      </c>
      <c r="E10" s="225">
        <f>Year!M7</f>
        <v>25</v>
      </c>
      <c r="F10" s="225">
        <f>Year!N7</f>
        <v>26</v>
      </c>
      <c r="G10" s="225">
        <f>Year!O7</f>
        <v>27</v>
      </c>
      <c r="H10" s="225">
        <f>Year!P7</f>
        <v>28</v>
      </c>
      <c r="I10" s="226"/>
    </row>
    <row r="11" ht="52.5" customHeight="1">
      <c r="A11" s="224"/>
      <c r="B11" s="227"/>
      <c r="C11" s="227"/>
      <c r="D11" s="227"/>
      <c r="E11" s="227"/>
      <c r="F11" s="227"/>
      <c r="G11" s="227"/>
      <c r="H11" s="229"/>
      <c r="I11" s="226"/>
    </row>
    <row r="12" ht="22.5" customHeight="1">
      <c r="A12" s="224"/>
      <c r="B12" s="225" t="str">
        <f>Year!J8</f>
        <v/>
      </c>
      <c r="C12" s="225" t="str">
        <f>Year!K8</f>
        <v/>
      </c>
      <c r="D12" s="225" t="str">
        <f>Year!L8</f>
        <v/>
      </c>
      <c r="E12" s="225" t="str">
        <f>Year!M8</f>
        <v/>
      </c>
      <c r="F12" s="225" t="str">
        <f>Year!N8</f>
        <v/>
      </c>
      <c r="G12" s="225" t="str">
        <f>Year!O8</f>
        <v/>
      </c>
      <c r="H12" s="225" t="str">
        <f>Year!P8</f>
        <v/>
      </c>
      <c r="I12" s="226"/>
    </row>
    <row r="13" ht="52.5" customHeight="1">
      <c r="A13" s="224"/>
      <c r="B13" s="230"/>
      <c r="C13" s="231"/>
      <c r="D13" s="230"/>
      <c r="E13" s="230"/>
      <c r="F13" s="230"/>
      <c r="G13" s="230"/>
      <c r="H13" s="230"/>
      <c r="I13" s="226"/>
    </row>
    <row r="14" ht="22.5" customHeight="1">
      <c r="A14" s="224"/>
      <c r="B14" s="232" t="str">
        <f>Year!J9</f>
        <v/>
      </c>
      <c r="C14" s="232" t="str">
        <f>Year!K9</f>
        <v/>
      </c>
      <c r="D14" s="232" t="str">
        <f>Year!L9</f>
        <v/>
      </c>
      <c r="E14" s="232" t="str">
        <f>Year!M9</f>
        <v/>
      </c>
      <c r="F14" s="232" t="str">
        <f>Year!N9</f>
        <v/>
      </c>
      <c r="G14" s="232" t="str">
        <f>Year!O9</f>
        <v/>
      </c>
      <c r="H14" s="232" t="str">
        <f>Year!P9</f>
        <v/>
      </c>
      <c r="I14" s="233"/>
    </row>
    <row r="15" ht="52.5" customHeight="1">
      <c r="A15" s="224"/>
      <c r="B15" s="234"/>
      <c r="C15" s="234"/>
      <c r="D15" s="234"/>
      <c r="E15" s="234"/>
      <c r="F15" s="234"/>
      <c r="G15" s="234"/>
      <c r="H15" s="234"/>
      <c r="I15" s="233"/>
    </row>
    <row r="16" ht="22.5" customHeight="1">
      <c r="A16" s="224"/>
      <c r="B16" s="234"/>
      <c r="C16" s="234"/>
      <c r="D16" s="234"/>
      <c r="E16" s="234"/>
      <c r="F16" s="234"/>
      <c r="G16" s="234"/>
      <c r="H16" s="234"/>
      <c r="I16" s="233"/>
    </row>
    <row r="17" ht="22.5" customHeight="1">
      <c r="A17" s="224"/>
      <c r="B17" s="235" t="s">
        <v>230</v>
      </c>
      <c r="C17" s="236"/>
      <c r="D17" s="236"/>
      <c r="E17" s="236"/>
      <c r="F17" s="236"/>
      <c r="G17" s="236"/>
      <c r="H17" s="236"/>
      <c r="I17" s="226"/>
    </row>
    <row r="18" ht="22.5" customHeight="1">
      <c r="A18" s="224"/>
      <c r="B18" s="226"/>
      <c r="I18" s="226"/>
    </row>
    <row r="19" ht="22.5" customHeight="1">
      <c r="A19" s="224"/>
      <c r="I19" s="2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5"/>
    <col customWidth="1" min="14" max="14" width="15.13"/>
  </cols>
  <sheetData>
    <row r="1">
      <c r="A1" s="237"/>
      <c r="D1" s="238"/>
      <c r="E1" s="239" t="s">
        <v>231</v>
      </c>
      <c r="I1" s="238"/>
      <c r="J1" s="239" t="s">
        <v>232</v>
      </c>
      <c r="M1" s="238"/>
      <c r="N1" s="240" t="s">
        <v>233</v>
      </c>
      <c r="O1" s="240" t="s">
        <v>170</v>
      </c>
      <c r="P1" s="240" t="s">
        <v>90</v>
      </c>
      <c r="Q1" s="240" t="s">
        <v>196</v>
      </c>
      <c r="R1" s="238"/>
      <c r="S1" s="238"/>
      <c r="T1" s="238"/>
      <c r="U1" s="238"/>
      <c r="V1" s="238"/>
      <c r="W1" s="238"/>
      <c r="X1" s="238"/>
      <c r="Y1" s="238"/>
      <c r="Z1" s="238"/>
    </row>
    <row r="2">
      <c r="A2" s="241"/>
      <c r="B2" s="241"/>
      <c r="C2" s="241"/>
      <c r="D2" s="238"/>
      <c r="E2" s="242" t="s">
        <v>234</v>
      </c>
      <c r="F2" s="243" t="s">
        <v>235</v>
      </c>
      <c r="G2" s="243" t="s">
        <v>7</v>
      </c>
      <c r="H2" s="243" t="s">
        <v>236</v>
      </c>
      <c r="I2" s="238"/>
      <c r="J2" s="243" t="s">
        <v>191</v>
      </c>
      <c r="K2" s="243" t="s">
        <v>90</v>
      </c>
      <c r="L2" s="243" t="s">
        <v>196</v>
      </c>
      <c r="M2" s="238"/>
      <c r="N2" s="244" t="s">
        <v>237</v>
      </c>
      <c r="O2" s="245">
        <v>1.99</v>
      </c>
      <c r="P2" s="246">
        <v>840.0</v>
      </c>
      <c r="Q2" s="247"/>
      <c r="R2" s="238"/>
      <c r="S2" s="238"/>
      <c r="T2" s="238"/>
      <c r="U2" s="238"/>
      <c r="V2" s="238"/>
      <c r="W2" s="238"/>
      <c r="X2" s="238"/>
      <c r="Y2" s="238"/>
      <c r="Z2" s="238"/>
    </row>
    <row r="3">
      <c r="A3" s="246"/>
      <c r="B3" s="247"/>
      <c r="C3" s="246"/>
      <c r="D3" s="238"/>
      <c r="E3" s="248" t="s">
        <v>238</v>
      </c>
      <c r="F3" s="249">
        <v>35000.0</v>
      </c>
      <c r="G3" s="246">
        <v>630.0</v>
      </c>
      <c r="H3" s="246">
        <v>310.0</v>
      </c>
      <c r="I3" s="238"/>
      <c r="J3" s="177"/>
      <c r="K3" s="246">
        <v>150.0</v>
      </c>
      <c r="L3" s="247"/>
      <c r="M3" s="238"/>
      <c r="N3" s="244" t="s">
        <v>239</v>
      </c>
      <c r="O3" s="245">
        <v>9.99</v>
      </c>
      <c r="P3" s="246">
        <v>4500.0</v>
      </c>
      <c r="Q3" s="247"/>
      <c r="R3" s="238"/>
      <c r="S3" s="238"/>
      <c r="T3" s="238"/>
      <c r="U3" s="238"/>
      <c r="V3" s="238"/>
      <c r="W3" s="238"/>
      <c r="X3" s="238"/>
      <c r="Y3" s="238"/>
      <c r="Z3" s="238"/>
    </row>
    <row r="4">
      <c r="A4" s="246"/>
      <c r="B4" s="246"/>
      <c r="C4" s="246"/>
      <c r="D4" s="238"/>
      <c r="E4" s="248" t="s">
        <v>240</v>
      </c>
      <c r="F4" s="249">
        <v>29700.0</v>
      </c>
      <c r="G4" s="246">
        <v>630.0</v>
      </c>
      <c r="H4" s="246">
        <v>310.0</v>
      </c>
      <c r="I4" s="238"/>
      <c r="J4" s="177"/>
      <c r="K4" s="246">
        <v>150.0</v>
      </c>
      <c r="L4" s="247"/>
      <c r="M4" s="238"/>
      <c r="N4" s="244" t="s">
        <v>241</v>
      </c>
      <c r="O4" s="245">
        <v>19.99</v>
      </c>
      <c r="P4" s="246">
        <v>7200.0</v>
      </c>
      <c r="Q4" s="247"/>
      <c r="R4" s="238"/>
      <c r="S4" s="238"/>
      <c r="T4" s="238"/>
      <c r="U4" s="238"/>
      <c r="V4" s="238"/>
      <c r="W4" s="238"/>
      <c r="X4" s="238"/>
      <c r="Y4" s="238"/>
      <c r="Z4" s="238"/>
    </row>
    <row r="5">
      <c r="A5" s="246"/>
      <c r="B5" s="247"/>
      <c r="C5" s="246"/>
      <c r="D5" s="238"/>
      <c r="E5" s="248" t="s">
        <v>159</v>
      </c>
      <c r="F5" s="249">
        <v>25200.0</v>
      </c>
      <c r="G5" s="246">
        <v>630.0</v>
      </c>
      <c r="H5" s="246">
        <v>310.0</v>
      </c>
      <c r="I5" s="238"/>
      <c r="J5" s="177"/>
      <c r="K5" s="246">
        <v>150.0</v>
      </c>
      <c r="L5" s="247"/>
      <c r="M5" s="238"/>
      <c r="N5" s="244" t="s">
        <v>242</v>
      </c>
      <c r="O5" s="245">
        <v>29.99</v>
      </c>
      <c r="P5" s="246">
        <v>11250.0</v>
      </c>
      <c r="Q5" s="247"/>
      <c r="R5" s="238"/>
      <c r="S5" s="238"/>
      <c r="T5" s="238"/>
      <c r="U5" s="238"/>
      <c r="V5" s="238"/>
      <c r="W5" s="238"/>
      <c r="X5" s="238"/>
      <c r="Y5" s="238"/>
      <c r="Z5" s="238"/>
    </row>
    <row r="6">
      <c r="A6" s="246"/>
      <c r="B6" s="247"/>
      <c r="C6" s="246"/>
      <c r="D6" s="238"/>
      <c r="E6" s="248" t="s">
        <v>243</v>
      </c>
      <c r="F6" s="249">
        <v>21400.0</v>
      </c>
      <c r="G6" s="246">
        <v>630.0</v>
      </c>
      <c r="H6" s="246">
        <v>310.0</v>
      </c>
      <c r="I6" s="238"/>
      <c r="J6" s="177"/>
      <c r="K6" s="246">
        <v>150.0</v>
      </c>
      <c r="L6" s="247"/>
      <c r="M6" s="238"/>
      <c r="N6" s="244" t="s">
        <v>244</v>
      </c>
      <c r="O6" s="245">
        <v>0.99</v>
      </c>
      <c r="P6" s="246">
        <v>800.0</v>
      </c>
      <c r="Q6" s="247"/>
      <c r="R6" s="238"/>
      <c r="S6" s="238"/>
      <c r="T6" s="238"/>
      <c r="U6" s="238"/>
      <c r="V6" s="238"/>
      <c r="W6" s="238"/>
      <c r="X6" s="238"/>
      <c r="Y6" s="238"/>
      <c r="Z6" s="238"/>
    </row>
    <row r="7">
      <c r="A7" s="246"/>
      <c r="B7" s="246"/>
      <c r="C7" s="246"/>
      <c r="D7" s="238"/>
      <c r="E7" s="248" t="s">
        <v>245</v>
      </c>
      <c r="F7" s="249">
        <v>18200.0</v>
      </c>
      <c r="G7" s="246">
        <v>630.0</v>
      </c>
      <c r="H7" s="246">
        <v>310.0</v>
      </c>
      <c r="I7" s="238"/>
      <c r="J7" s="177"/>
      <c r="K7" s="246">
        <v>150.0</v>
      </c>
      <c r="L7" s="246">
        <v>5000.0</v>
      </c>
      <c r="M7" s="238"/>
      <c r="N7" s="244" t="s">
        <v>246</v>
      </c>
      <c r="O7" s="245">
        <v>4.99</v>
      </c>
      <c r="P7" s="246">
        <v>3300.0</v>
      </c>
      <c r="Q7" s="247"/>
      <c r="R7" s="238"/>
      <c r="S7" s="238"/>
      <c r="T7" s="238"/>
      <c r="U7" s="238"/>
      <c r="V7" s="238"/>
      <c r="W7" s="238"/>
      <c r="X7" s="238"/>
      <c r="Y7" s="238"/>
      <c r="Z7" s="238"/>
    </row>
    <row r="8">
      <c r="A8" s="246"/>
      <c r="B8" s="246"/>
      <c r="C8" s="246"/>
      <c r="D8" s="238"/>
      <c r="E8" s="248" t="s">
        <v>247</v>
      </c>
      <c r="F8" s="249">
        <v>14600.0</v>
      </c>
      <c r="G8" s="246">
        <v>630.0</v>
      </c>
      <c r="H8" s="246">
        <v>310.0</v>
      </c>
      <c r="I8" s="238"/>
      <c r="J8" s="177"/>
      <c r="K8" s="246">
        <v>250.0</v>
      </c>
      <c r="L8" s="246"/>
      <c r="M8" s="238"/>
      <c r="N8" s="244" t="s">
        <v>248</v>
      </c>
      <c r="O8" s="245">
        <v>14.99</v>
      </c>
      <c r="P8" s="246">
        <v>8400.0</v>
      </c>
      <c r="Q8" s="247"/>
      <c r="R8" s="238"/>
      <c r="S8" s="238"/>
      <c r="T8" s="238"/>
      <c r="U8" s="238"/>
      <c r="V8" s="238"/>
      <c r="W8" s="238"/>
      <c r="X8" s="238"/>
      <c r="Y8" s="238"/>
      <c r="Z8" s="238"/>
    </row>
    <row r="9">
      <c r="A9" s="246"/>
      <c r="B9" s="246"/>
      <c r="C9" s="246"/>
      <c r="D9" s="238"/>
      <c r="E9" s="248" t="s">
        <v>249</v>
      </c>
      <c r="F9" s="249">
        <v>21000.0</v>
      </c>
      <c r="G9" s="246">
        <v>570.0</v>
      </c>
      <c r="H9" s="246">
        <v>290.0</v>
      </c>
      <c r="I9" s="238"/>
      <c r="J9" s="177"/>
      <c r="K9" s="246">
        <v>250.0</v>
      </c>
      <c r="L9" s="247"/>
      <c r="M9" s="238"/>
      <c r="N9" s="244" t="s">
        <v>250</v>
      </c>
      <c r="O9" s="245">
        <v>24.99</v>
      </c>
      <c r="P9" s="246">
        <v>12750.0</v>
      </c>
      <c r="Q9" s="247"/>
      <c r="R9" s="238"/>
      <c r="S9" s="238"/>
      <c r="T9" s="238"/>
      <c r="U9" s="238"/>
      <c r="V9" s="238"/>
      <c r="W9" s="238"/>
      <c r="X9" s="238"/>
      <c r="Y9" s="238"/>
      <c r="Z9" s="238"/>
    </row>
    <row r="10">
      <c r="A10" s="246"/>
      <c r="B10" s="246"/>
      <c r="C10" s="246"/>
      <c r="D10" s="238"/>
      <c r="E10" s="248" t="s">
        <v>251</v>
      </c>
      <c r="F10" s="249">
        <v>17800.0</v>
      </c>
      <c r="G10" s="246">
        <v>570.0</v>
      </c>
      <c r="H10" s="246">
        <v>290.0</v>
      </c>
      <c r="I10" s="238"/>
      <c r="J10" s="177"/>
      <c r="K10" s="246">
        <v>250.0</v>
      </c>
      <c r="L10" s="247"/>
      <c r="M10" s="238"/>
      <c r="N10" s="244" t="s">
        <v>252</v>
      </c>
      <c r="O10" s="245">
        <v>1.99</v>
      </c>
      <c r="P10" s="246">
        <v>1400.0</v>
      </c>
      <c r="Q10" s="246">
        <v>70000.0</v>
      </c>
      <c r="R10" s="238"/>
      <c r="S10" s="238"/>
      <c r="T10" s="238"/>
      <c r="U10" s="238"/>
      <c r="V10" s="238"/>
      <c r="W10" s="238"/>
      <c r="X10" s="238"/>
      <c r="Y10" s="238"/>
      <c r="Z10" s="238"/>
    </row>
    <row r="11">
      <c r="A11" s="246"/>
      <c r="B11" s="246"/>
      <c r="C11" s="246"/>
      <c r="D11" s="238"/>
      <c r="E11" s="248" t="s">
        <v>253</v>
      </c>
      <c r="F11" s="249">
        <v>15100.0</v>
      </c>
      <c r="G11" s="246">
        <v>570.0</v>
      </c>
      <c r="H11" s="246">
        <v>290.0</v>
      </c>
      <c r="I11" s="238"/>
      <c r="J11" s="177"/>
      <c r="K11" s="246">
        <v>250.0</v>
      </c>
      <c r="L11" s="247"/>
      <c r="M11" s="238"/>
      <c r="N11" s="244" t="s">
        <v>254</v>
      </c>
      <c r="O11" s="245">
        <v>9.99</v>
      </c>
      <c r="P11" s="246">
        <v>6500.0</v>
      </c>
      <c r="Q11" s="246">
        <v>175000.0</v>
      </c>
      <c r="R11" s="238"/>
      <c r="S11" s="238"/>
      <c r="T11" s="238"/>
      <c r="U11" s="238"/>
      <c r="V11" s="238"/>
      <c r="W11" s="238"/>
      <c r="X11" s="238"/>
      <c r="Y11" s="238"/>
      <c r="Z11" s="238"/>
    </row>
    <row r="12">
      <c r="A12" s="246"/>
      <c r="B12" s="246"/>
      <c r="C12" s="246"/>
      <c r="D12" s="238"/>
      <c r="E12" s="248" t="s">
        <v>255</v>
      </c>
      <c r="F12" s="249">
        <v>12900.0</v>
      </c>
      <c r="G12" s="246">
        <v>570.0</v>
      </c>
      <c r="H12" s="246">
        <v>290.0</v>
      </c>
      <c r="I12" s="238"/>
      <c r="J12" s="177"/>
      <c r="K12" s="246">
        <v>250.0</v>
      </c>
      <c r="L12" s="246">
        <v>10000.0</v>
      </c>
      <c r="M12" s="238"/>
      <c r="N12" s="244" t="s">
        <v>256</v>
      </c>
      <c r="O12" s="245">
        <v>19.99</v>
      </c>
      <c r="P12" s="246">
        <v>9600.0</v>
      </c>
      <c r="Q12" s="246">
        <v>120000.0</v>
      </c>
      <c r="R12" s="238"/>
      <c r="S12" s="238"/>
      <c r="T12" s="238"/>
      <c r="U12" s="238"/>
      <c r="V12" s="238"/>
      <c r="W12" s="238"/>
      <c r="X12" s="238"/>
      <c r="Y12" s="238"/>
      <c r="Z12" s="238"/>
    </row>
    <row r="13">
      <c r="A13" s="246"/>
      <c r="B13" s="246"/>
      <c r="C13" s="246"/>
      <c r="D13" s="238"/>
      <c r="E13" s="248" t="s">
        <v>257</v>
      </c>
      <c r="F13" s="249">
        <v>10900.0</v>
      </c>
      <c r="G13" s="246">
        <v>570.0</v>
      </c>
      <c r="H13" s="246">
        <v>290.0</v>
      </c>
      <c r="I13" s="238"/>
      <c r="J13" s="177"/>
      <c r="K13" s="246">
        <v>350.0</v>
      </c>
      <c r="L13" s="247"/>
      <c r="M13" s="238"/>
      <c r="N13" s="244" t="s">
        <v>258</v>
      </c>
      <c r="O13" s="245">
        <v>29.99</v>
      </c>
      <c r="P13" s="246">
        <v>15000.0</v>
      </c>
      <c r="Q13" s="246">
        <v>0.0</v>
      </c>
      <c r="R13" s="238"/>
      <c r="S13" s="238"/>
      <c r="T13" s="238"/>
      <c r="U13" s="238"/>
      <c r="V13" s="238"/>
      <c r="W13" s="238"/>
      <c r="X13" s="238"/>
      <c r="Y13" s="238"/>
      <c r="Z13" s="238"/>
    </row>
    <row r="14">
      <c r="A14" s="246"/>
      <c r="B14" s="246"/>
      <c r="C14" s="246"/>
      <c r="D14" s="238"/>
      <c r="E14" s="248" t="s">
        <v>259</v>
      </c>
      <c r="F14" s="249">
        <v>9320.0</v>
      </c>
      <c r="G14" s="246">
        <v>570.0</v>
      </c>
      <c r="H14" s="246">
        <v>290.0</v>
      </c>
      <c r="I14" s="238"/>
      <c r="J14" s="177"/>
      <c r="K14" s="246">
        <v>350.0</v>
      </c>
      <c r="L14" s="247"/>
      <c r="M14" s="238"/>
      <c r="N14" s="244" t="s">
        <v>260</v>
      </c>
      <c r="O14" s="245">
        <v>19.99</v>
      </c>
      <c r="P14" s="246">
        <v>7800.0</v>
      </c>
      <c r="Q14" s="246">
        <v>210000.0</v>
      </c>
      <c r="R14" s="238"/>
      <c r="S14" s="238"/>
      <c r="T14" s="238"/>
      <c r="U14" s="238"/>
      <c r="V14" s="238"/>
      <c r="W14" s="238"/>
      <c r="X14" s="238"/>
      <c r="Y14" s="238"/>
      <c r="Z14" s="238"/>
    </row>
    <row r="15">
      <c r="A15" s="246"/>
      <c r="B15" s="246"/>
      <c r="C15" s="246"/>
      <c r="D15" s="238"/>
      <c r="E15" s="248" t="s">
        <v>261</v>
      </c>
      <c r="F15" s="249">
        <v>7460.0</v>
      </c>
      <c r="G15" s="246">
        <v>570.0</v>
      </c>
      <c r="H15" s="246">
        <v>290.0</v>
      </c>
      <c r="I15" s="238"/>
      <c r="J15" s="177"/>
      <c r="K15" s="246">
        <v>350.0</v>
      </c>
      <c r="L15" s="247"/>
      <c r="M15" s="238"/>
      <c r="N15" s="244" t="s">
        <v>262</v>
      </c>
      <c r="O15" s="245">
        <v>9.99</v>
      </c>
      <c r="P15" s="246">
        <v>5000.0</v>
      </c>
      <c r="Q15" s="246">
        <v>250000.0</v>
      </c>
      <c r="R15" s="238"/>
      <c r="S15" s="238"/>
      <c r="T15" s="238"/>
      <c r="U15" s="238"/>
      <c r="V15" s="238"/>
      <c r="W15" s="238"/>
      <c r="X15" s="238"/>
      <c r="Y15" s="238"/>
      <c r="Z15" s="238"/>
    </row>
    <row r="16">
      <c r="A16" s="247"/>
      <c r="B16" s="247"/>
      <c r="C16" s="247"/>
      <c r="D16" s="238"/>
      <c r="E16" s="248" t="s">
        <v>263</v>
      </c>
      <c r="F16" s="249">
        <v>14100.0</v>
      </c>
      <c r="G16" s="246">
        <v>520.0</v>
      </c>
      <c r="H16" s="246">
        <v>260.0</v>
      </c>
      <c r="I16" s="238"/>
      <c r="J16" s="177"/>
      <c r="K16" s="246">
        <v>350.0</v>
      </c>
      <c r="L16" s="247"/>
      <c r="M16" s="238"/>
      <c r="N16" s="244" t="s">
        <v>264</v>
      </c>
      <c r="O16" s="245">
        <v>4.99</v>
      </c>
      <c r="P16" s="246">
        <v>2100.0</v>
      </c>
      <c r="Q16" s="246">
        <v>195000.0</v>
      </c>
      <c r="R16" s="238"/>
      <c r="S16" s="238"/>
      <c r="T16" s="238"/>
      <c r="U16" s="238"/>
      <c r="V16" s="238"/>
      <c r="W16" s="238"/>
      <c r="X16" s="238"/>
      <c r="Y16" s="238"/>
      <c r="Z16" s="238"/>
    </row>
    <row r="17">
      <c r="A17" s="237" t="s">
        <v>265</v>
      </c>
      <c r="D17" s="238"/>
      <c r="E17" s="248" t="s">
        <v>266</v>
      </c>
      <c r="F17" s="249">
        <v>12700.0</v>
      </c>
      <c r="G17" s="246">
        <v>520.0</v>
      </c>
      <c r="H17" s="246">
        <v>260.0</v>
      </c>
      <c r="I17" s="238"/>
      <c r="J17" s="177"/>
      <c r="K17" s="246">
        <v>350.0</v>
      </c>
      <c r="L17" s="246">
        <v>15000.0</v>
      </c>
      <c r="M17" s="238"/>
      <c r="N17" s="244" t="s">
        <v>267</v>
      </c>
      <c r="O17" s="245">
        <v>0.99</v>
      </c>
      <c r="P17" s="246">
        <v>400.0</v>
      </c>
      <c r="Q17" s="246">
        <v>80000.0</v>
      </c>
      <c r="R17" s="238"/>
      <c r="S17" s="238"/>
      <c r="T17" s="238"/>
      <c r="U17" s="238"/>
      <c r="V17" s="238"/>
      <c r="W17" s="238"/>
      <c r="X17" s="238"/>
      <c r="Y17" s="238"/>
      <c r="Z17" s="238"/>
    </row>
    <row r="18">
      <c r="A18" s="250" t="s">
        <v>191</v>
      </c>
      <c r="B18" s="241" t="s">
        <v>90</v>
      </c>
      <c r="C18" s="250" t="s">
        <v>196</v>
      </c>
      <c r="D18" s="238"/>
      <c r="E18" s="248" t="s">
        <v>268</v>
      </c>
      <c r="F18" s="249">
        <v>11500.0</v>
      </c>
      <c r="G18" s="246">
        <v>520.0</v>
      </c>
      <c r="H18" s="246">
        <v>260.0</v>
      </c>
      <c r="I18" s="238"/>
      <c r="J18" s="243" t="s">
        <v>148</v>
      </c>
      <c r="K18" s="243" t="s">
        <v>90</v>
      </c>
      <c r="L18" s="243" t="s">
        <v>196</v>
      </c>
      <c r="M18" s="238"/>
      <c r="N18" s="238"/>
      <c r="O18" s="251"/>
      <c r="P18" s="247"/>
      <c r="Q18" s="247"/>
      <c r="R18" s="238"/>
      <c r="S18" s="238"/>
      <c r="T18" s="238"/>
      <c r="U18" s="238"/>
      <c r="V18" s="238"/>
      <c r="W18" s="238"/>
      <c r="X18" s="238"/>
      <c r="Y18" s="238"/>
      <c r="Z18" s="238"/>
    </row>
    <row r="19">
      <c r="A19" s="252" t="s">
        <v>269</v>
      </c>
      <c r="B19" s="252">
        <v>200.0</v>
      </c>
      <c r="C19" s="252"/>
      <c r="D19" s="238"/>
      <c r="E19" s="248" t="s">
        <v>270</v>
      </c>
      <c r="F19" s="249">
        <v>10300.0</v>
      </c>
      <c r="G19" s="246">
        <v>520.0</v>
      </c>
      <c r="H19" s="246">
        <v>260.0</v>
      </c>
      <c r="I19" s="238"/>
      <c r="J19" s="246">
        <v>1.0</v>
      </c>
      <c r="K19" s="246">
        <v>15000.0</v>
      </c>
      <c r="L19" s="246">
        <v>400000.0</v>
      </c>
      <c r="M19" s="238"/>
      <c r="N19" s="238"/>
      <c r="O19" s="251"/>
      <c r="P19" s="247"/>
      <c r="Q19" s="247"/>
      <c r="R19" s="238"/>
      <c r="S19" s="238"/>
      <c r="T19" s="238"/>
      <c r="U19" s="238"/>
      <c r="V19" s="238"/>
      <c r="W19" s="238"/>
      <c r="X19" s="238"/>
      <c r="Y19" s="238"/>
      <c r="Z19" s="238"/>
    </row>
    <row r="20">
      <c r="A20" s="252" t="s">
        <v>271</v>
      </c>
      <c r="B20" s="252">
        <v>200.0</v>
      </c>
      <c r="C20" s="252"/>
      <c r="D20" s="238"/>
      <c r="E20" s="248" t="s">
        <v>272</v>
      </c>
      <c r="F20" s="249">
        <v>9310.0</v>
      </c>
      <c r="G20" s="246">
        <v>520.0</v>
      </c>
      <c r="H20" s="246">
        <v>260.0</v>
      </c>
      <c r="I20" s="238"/>
      <c r="J20" s="246">
        <v>2.0</v>
      </c>
      <c r="K20" s="246">
        <v>12500.0</v>
      </c>
      <c r="L20" s="246">
        <v>300000.0</v>
      </c>
      <c r="M20" s="238"/>
      <c r="N20" s="238"/>
      <c r="O20" s="251"/>
      <c r="P20" s="247"/>
      <c r="Q20" s="247"/>
      <c r="R20" s="238"/>
      <c r="S20" s="238"/>
      <c r="T20" s="238"/>
      <c r="U20" s="238"/>
      <c r="V20" s="238"/>
      <c r="W20" s="238"/>
      <c r="X20" s="238"/>
      <c r="Y20" s="238"/>
      <c r="Z20" s="238"/>
    </row>
    <row r="21">
      <c r="A21" s="252" t="s">
        <v>273</v>
      </c>
      <c r="B21" s="252">
        <v>200.0</v>
      </c>
      <c r="C21" s="252"/>
      <c r="D21" s="238"/>
      <c r="E21" s="248" t="s">
        <v>274</v>
      </c>
      <c r="F21" s="249">
        <v>8380.0</v>
      </c>
      <c r="G21" s="246">
        <v>520.0</v>
      </c>
      <c r="H21" s="246">
        <v>260.0</v>
      </c>
      <c r="I21" s="238"/>
      <c r="J21" s="246">
        <v>3.0</v>
      </c>
      <c r="K21" s="246">
        <v>10000.0</v>
      </c>
      <c r="L21" s="246">
        <v>240000.0</v>
      </c>
      <c r="M21" s="238"/>
      <c r="N21" s="238"/>
      <c r="O21" s="251"/>
      <c r="P21" s="247"/>
      <c r="Q21" s="247"/>
      <c r="R21" s="238"/>
      <c r="S21" s="238"/>
      <c r="T21" s="238"/>
      <c r="U21" s="238"/>
      <c r="V21" s="238"/>
      <c r="W21" s="238"/>
      <c r="X21" s="238"/>
      <c r="Y21" s="238"/>
      <c r="Z21" s="238"/>
    </row>
    <row r="22">
      <c r="A22" s="252" t="s">
        <v>275</v>
      </c>
      <c r="B22" s="252">
        <v>200.0</v>
      </c>
      <c r="C22" s="252">
        <v>5000.0</v>
      </c>
      <c r="D22" s="238"/>
      <c r="E22" s="248" t="s">
        <v>276</v>
      </c>
      <c r="F22" s="249">
        <v>7540.0</v>
      </c>
      <c r="G22" s="246">
        <v>520.0</v>
      </c>
      <c r="H22" s="246">
        <v>260.0</v>
      </c>
      <c r="I22" s="238"/>
      <c r="J22" s="253" t="s">
        <v>277</v>
      </c>
      <c r="K22" s="246">
        <v>8000.0</v>
      </c>
      <c r="L22" s="246">
        <v>200000.0</v>
      </c>
      <c r="M22" s="238"/>
      <c r="N22" s="238"/>
      <c r="O22" s="251"/>
      <c r="P22" s="247"/>
      <c r="Q22" s="247"/>
      <c r="R22" s="238"/>
      <c r="S22" s="238"/>
      <c r="T22" s="238"/>
      <c r="U22" s="238"/>
      <c r="V22" s="238"/>
      <c r="W22" s="238"/>
      <c r="X22" s="238"/>
      <c r="Y22" s="238"/>
      <c r="Z22" s="238"/>
    </row>
    <row r="23">
      <c r="A23" s="252" t="s">
        <v>278</v>
      </c>
      <c r="B23" s="252">
        <v>240.0</v>
      </c>
      <c r="C23" s="252"/>
      <c r="D23" s="238"/>
      <c r="E23" s="248" t="s">
        <v>279</v>
      </c>
      <c r="F23" s="249">
        <v>6410.0</v>
      </c>
      <c r="G23" s="246">
        <v>520.0</v>
      </c>
      <c r="H23" s="246">
        <v>260.0</v>
      </c>
      <c r="I23" s="238"/>
      <c r="J23" s="253" t="s">
        <v>280</v>
      </c>
      <c r="K23" s="246">
        <v>6500.0</v>
      </c>
      <c r="L23" s="246">
        <v>150000.0</v>
      </c>
      <c r="M23" s="238"/>
      <c r="N23" s="238"/>
      <c r="O23" s="251"/>
      <c r="P23" s="247"/>
      <c r="Q23" s="247"/>
      <c r="R23" s="238"/>
      <c r="S23" s="238"/>
      <c r="T23" s="238"/>
      <c r="U23" s="238"/>
      <c r="V23" s="238"/>
      <c r="W23" s="238"/>
      <c r="X23" s="238"/>
      <c r="Y23" s="238"/>
      <c r="Z23" s="238"/>
    </row>
    <row r="24">
      <c r="A24" s="252" t="s">
        <v>281</v>
      </c>
      <c r="B24" s="252">
        <v>240.0</v>
      </c>
      <c r="C24" s="252"/>
      <c r="D24" s="238"/>
      <c r="E24" s="248" t="s">
        <v>282</v>
      </c>
      <c r="F24" s="249">
        <v>11300.0</v>
      </c>
      <c r="G24" s="246">
        <v>470.0</v>
      </c>
      <c r="H24" s="246">
        <v>240.0</v>
      </c>
      <c r="I24" s="238"/>
      <c r="J24" s="246" t="s">
        <v>283</v>
      </c>
      <c r="K24" s="246">
        <v>5000.0</v>
      </c>
      <c r="L24" s="246">
        <v>120000.0</v>
      </c>
      <c r="M24" s="238"/>
      <c r="N24" s="238"/>
      <c r="O24" s="251"/>
      <c r="P24" s="247"/>
      <c r="Q24" s="247"/>
      <c r="R24" s="238"/>
      <c r="S24" s="238"/>
      <c r="T24" s="238"/>
      <c r="U24" s="238"/>
      <c r="V24" s="238"/>
      <c r="W24" s="238"/>
      <c r="X24" s="238"/>
      <c r="Y24" s="238"/>
      <c r="Z24" s="238"/>
    </row>
    <row r="25">
      <c r="A25" s="252" t="s">
        <v>284</v>
      </c>
      <c r="B25" s="252">
        <v>240.0</v>
      </c>
      <c r="C25" s="252">
        <v>6000.0</v>
      </c>
      <c r="D25" s="238"/>
      <c r="E25" s="248" t="s">
        <v>285</v>
      </c>
      <c r="F25" s="249">
        <v>10200.0</v>
      </c>
      <c r="G25" s="246">
        <v>470.0</v>
      </c>
      <c r="H25" s="246">
        <v>240.0</v>
      </c>
      <c r="I25" s="238"/>
      <c r="J25" s="246" t="s">
        <v>286</v>
      </c>
      <c r="K25" s="246">
        <v>4000.0</v>
      </c>
      <c r="L25" s="246">
        <v>100000.0</v>
      </c>
      <c r="M25" s="238"/>
      <c r="N25" s="238"/>
      <c r="O25" s="251"/>
      <c r="P25" s="247"/>
      <c r="Q25" s="247"/>
      <c r="R25" s="238"/>
      <c r="S25" s="238"/>
      <c r="T25" s="238"/>
      <c r="U25" s="238"/>
      <c r="V25" s="238"/>
      <c r="W25" s="238"/>
      <c r="X25" s="238"/>
      <c r="Y25" s="238"/>
      <c r="Z25" s="238"/>
    </row>
    <row r="26">
      <c r="A26" s="252" t="s">
        <v>287</v>
      </c>
      <c r="B26" s="252">
        <v>300.0</v>
      </c>
      <c r="C26" s="252"/>
      <c r="D26" s="238"/>
      <c r="E26" s="248" t="s">
        <v>288</v>
      </c>
      <c r="F26" s="249">
        <v>9220.0</v>
      </c>
      <c r="G26" s="246">
        <v>470.0</v>
      </c>
      <c r="H26" s="246">
        <v>240.0</v>
      </c>
      <c r="I26" s="238"/>
      <c r="J26" s="246" t="s">
        <v>289</v>
      </c>
      <c r="K26" s="246">
        <v>3000.0</v>
      </c>
      <c r="L26" s="246">
        <v>80000.0</v>
      </c>
      <c r="M26" s="238"/>
      <c r="N26" s="238"/>
      <c r="O26" s="251"/>
      <c r="P26" s="247"/>
      <c r="Q26" s="247"/>
      <c r="R26" s="238"/>
      <c r="S26" s="238"/>
      <c r="T26" s="238"/>
      <c r="U26" s="238"/>
      <c r="V26" s="238"/>
      <c r="W26" s="238"/>
      <c r="X26" s="238"/>
      <c r="Y26" s="238"/>
      <c r="Z26" s="238"/>
    </row>
    <row r="27">
      <c r="A27" s="252" t="s">
        <v>290</v>
      </c>
      <c r="B27" s="252">
        <v>300.0</v>
      </c>
      <c r="C27" s="252"/>
      <c r="D27" s="238"/>
      <c r="E27" s="248" t="s">
        <v>291</v>
      </c>
      <c r="F27" s="249">
        <v>8300.0</v>
      </c>
      <c r="G27" s="246">
        <v>470.0</v>
      </c>
      <c r="H27" s="246">
        <v>240.0</v>
      </c>
      <c r="I27" s="238"/>
      <c r="J27" s="246" t="s">
        <v>292</v>
      </c>
      <c r="K27" s="246">
        <v>2000.0</v>
      </c>
      <c r="L27" s="246">
        <v>70000.0</v>
      </c>
      <c r="M27" s="238"/>
      <c r="N27" s="238"/>
      <c r="O27" s="251"/>
      <c r="P27" s="247"/>
      <c r="Q27" s="247"/>
      <c r="R27" s="238"/>
      <c r="S27" s="238"/>
      <c r="T27" s="238"/>
      <c r="U27" s="238"/>
      <c r="V27" s="238"/>
      <c r="W27" s="238"/>
      <c r="X27" s="238"/>
      <c r="Y27" s="238"/>
      <c r="Z27" s="238"/>
    </row>
    <row r="28">
      <c r="A28" s="252" t="s">
        <v>293</v>
      </c>
      <c r="B28" s="252">
        <v>300.0</v>
      </c>
      <c r="C28" s="252">
        <v>7500.0</v>
      </c>
      <c r="D28" s="238"/>
      <c r="E28" s="248" t="s">
        <v>294</v>
      </c>
      <c r="F28" s="249">
        <v>7470.0</v>
      </c>
      <c r="G28" s="246">
        <v>470.0</v>
      </c>
      <c r="H28" s="246">
        <v>240.0</v>
      </c>
      <c r="I28" s="238"/>
      <c r="J28" s="246" t="s">
        <v>295</v>
      </c>
      <c r="K28" s="246">
        <v>1500.0</v>
      </c>
      <c r="L28" s="246">
        <v>60000.0</v>
      </c>
      <c r="M28" s="238"/>
      <c r="N28" s="238"/>
      <c r="O28" s="251"/>
      <c r="P28" s="247"/>
      <c r="Q28" s="247"/>
      <c r="R28" s="238"/>
      <c r="S28" s="238"/>
      <c r="T28" s="238"/>
      <c r="U28" s="238"/>
      <c r="V28" s="238"/>
      <c r="W28" s="238"/>
      <c r="X28" s="238"/>
      <c r="Y28" s="238"/>
      <c r="Z28" s="238"/>
    </row>
    <row r="29">
      <c r="A29" s="252" t="s">
        <v>296</v>
      </c>
      <c r="B29" s="252">
        <v>400.0</v>
      </c>
      <c r="C29" s="252"/>
      <c r="D29" s="238"/>
      <c r="E29" s="248" t="s">
        <v>297</v>
      </c>
      <c r="F29" s="249">
        <v>6720.0</v>
      </c>
      <c r="G29" s="246">
        <v>470.0</v>
      </c>
      <c r="H29" s="246">
        <v>240.0</v>
      </c>
      <c r="I29" s="238"/>
      <c r="J29" s="246" t="s">
        <v>298</v>
      </c>
      <c r="K29" s="246">
        <v>1250.0</v>
      </c>
      <c r="L29" s="246">
        <v>50000.0</v>
      </c>
      <c r="M29" s="238"/>
      <c r="N29" s="238"/>
      <c r="O29" s="251"/>
      <c r="P29" s="247"/>
      <c r="Q29" s="247"/>
      <c r="R29" s="238"/>
      <c r="S29" s="238"/>
      <c r="T29" s="238"/>
      <c r="U29" s="238"/>
      <c r="V29" s="238"/>
      <c r="W29" s="238"/>
      <c r="X29" s="238"/>
      <c r="Y29" s="238"/>
      <c r="Z29" s="238"/>
    </row>
    <row r="30">
      <c r="A30" s="252" t="s">
        <v>299</v>
      </c>
      <c r="B30" s="252">
        <v>500.0</v>
      </c>
      <c r="C30" s="252"/>
      <c r="D30" s="238"/>
      <c r="E30" s="248" t="s">
        <v>300</v>
      </c>
      <c r="F30" s="249">
        <v>6050.0</v>
      </c>
      <c r="G30" s="246">
        <v>470.0</v>
      </c>
      <c r="H30" s="246">
        <v>240.0</v>
      </c>
      <c r="I30" s="238"/>
      <c r="J30" s="247"/>
      <c r="K30" s="247"/>
      <c r="L30" s="247"/>
      <c r="M30" s="238"/>
      <c r="N30" s="238"/>
      <c r="O30" s="251"/>
      <c r="P30" s="247"/>
      <c r="Q30" s="247"/>
      <c r="R30" s="238"/>
      <c r="S30" s="238"/>
      <c r="T30" s="238"/>
      <c r="U30" s="238"/>
      <c r="V30" s="238"/>
      <c r="W30" s="238"/>
      <c r="X30" s="238"/>
      <c r="Y30" s="238"/>
      <c r="Z30" s="238"/>
    </row>
    <row r="31">
      <c r="A31" s="252" t="s">
        <v>301</v>
      </c>
      <c r="B31" s="252">
        <v>600.0</v>
      </c>
      <c r="C31" s="252">
        <v>15000.0</v>
      </c>
      <c r="D31" s="238"/>
      <c r="E31" s="248" t="s">
        <v>302</v>
      </c>
      <c r="F31" s="249">
        <v>5440.0</v>
      </c>
      <c r="G31" s="246">
        <v>470.0</v>
      </c>
      <c r="H31" s="246">
        <v>240.0</v>
      </c>
      <c r="I31" s="238"/>
      <c r="J31" s="247"/>
      <c r="K31" s="247"/>
      <c r="L31" s="247"/>
      <c r="M31" s="238"/>
      <c r="N31" s="238"/>
      <c r="O31" s="251"/>
      <c r="P31" s="247"/>
      <c r="Q31" s="247"/>
      <c r="R31" s="238"/>
      <c r="S31" s="238"/>
      <c r="T31" s="238"/>
      <c r="U31" s="238"/>
      <c r="V31" s="238"/>
      <c r="W31" s="238"/>
      <c r="X31" s="238"/>
      <c r="Y31" s="238"/>
      <c r="Z31" s="238"/>
    </row>
    <row r="32">
      <c r="A32" s="252"/>
      <c r="B32" s="252"/>
      <c r="C32" s="252"/>
      <c r="D32" s="238"/>
      <c r="E32" s="248" t="s">
        <v>303</v>
      </c>
      <c r="F32" s="249">
        <v>4630.0</v>
      </c>
      <c r="G32" s="246">
        <v>470.0</v>
      </c>
      <c r="H32" s="246">
        <v>240.0</v>
      </c>
      <c r="I32" s="238"/>
      <c r="J32" s="247"/>
      <c r="K32" s="247"/>
      <c r="L32" s="247"/>
      <c r="M32" s="238"/>
      <c r="N32" s="238"/>
      <c r="O32" s="251"/>
      <c r="P32" s="247"/>
      <c r="Q32" s="247"/>
      <c r="R32" s="238"/>
      <c r="S32" s="238"/>
      <c r="T32" s="238"/>
      <c r="U32" s="238"/>
      <c r="V32" s="238"/>
      <c r="W32" s="238"/>
      <c r="X32" s="238"/>
      <c r="Y32" s="238"/>
      <c r="Z32" s="238"/>
    </row>
    <row r="33">
      <c r="A33" s="240" t="s">
        <v>304</v>
      </c>
      <c r="B33" s="240" t="s">
        <v>90</v>
      </c>
      <c r="C33" s="240" t="s">
        <v>196</v>
      </c>
      <c r="D33" s="238"/>
      <c r="E33" s="248" t="s">
        <v>305</v>
      </c>
      <c r="F33" s="249">
        <v>9130.0</v>
      </c>
      <c r="G33" s="246">
        <v>430.0</v>
      </c>
      <c r="H33" s="246">
        <v>210.0</v>
      </c>
      <c r="I33" s="238"/>
      <c r="J33" s="247"/>
      <c r="K33" s="247"/>
      <c r="L33" s="247"/>
      <c r="M33" s="238"/>
      <c r="N33" s="238"/>
      <c r="O33" s="251"/>
      <c r="P33" s="247"/>
      <c r="Q33" s="247"/>
      <c r="R33" s="238"/>
      <c r="S33" s="238"/>
      <c r="T33" s="238"/>
      <c r="U33" s="238"/>
      <c r="V33" s="238"/>
      <c r="W33" s="238"/>
      <c r="X33" s="238"/>
      <c r="Y33" s="238"/>
      <c r="Z33" s="238"/>
    </row>
    <row r="34">
      <c r="A34" s="252">
        <v>1.0</v>
      </c>
      <c r="B34" s="252">
        <v>6000.0</v>
      </c>
      <c r="C34" s="252">
        <v>150000.0</v>
      </c>
      <c r="D34" s="238"/>
      <c r="E34" s="248" t="s">
        <v>306</v>
      </c>
      <c r="F34" s="249">
        <v>8210.0</v>
      </c>
      <c r="G34" s="246">
        <v>430.0</v>
      </c>
      <c r="H34" s="246">
        <v>210.0</v>
      </c>
      <c r="I34" s="238"/>
      <c r="J34" s="247"/>
      <c r="K34" s="247"/>
      <c r="L34" s="247"/>
      <c r="M34" s="238"/>
      <c r="N34" s="238"/>
      <c r="O34" s="251"/>
      <c r="P34" s="247"/>
      <c r="Q34" s="247"/>
      <c r="R34" s="238"/>
      <c r="S34" s="238"/>
      <c r="T34" s="238"/>
      <c r="U34" s="238"/>
      <c r="V34" s="238"/>
      <c r="W34" s="238"/>
      <c r="X34" s="238"/>
      <c r="Y34" s="238"/>
      <c r="Z34" s="238"/>
    </row>
    <row r="35">
      <c r="A35" s="252">
        <v>2.0</v>
      </c>
      <c r="B35" s="252">
        <v>4500.0</v>
      </c>
      <c r="C35" s="252">
        <v>112500.0</v>
      </c>
      <c r="D35" s="238"/>
      <c r="E35" s="248" t="s">
        <v>307</v>
      </c>
      <c r="F35" s="249">
        <v>7390.0</v>
      </c>
      <c r="G35" s="246">
        <v>430.0</v>
      </c>
      <c r="H35" s="246">
        <v>210.0</v>
      </c>
      <c r="I35" s="238"/>
      <c r="J35" s="247"/>
      <c r="K35" s="247"/>
      <c r="L35" s="247"/>
      <c r="M35" s="238"/>
      <c r="N35" s="238"/>
      <c r="O35" s="251"/>
      <c r="P35" s="247"/>
      <c r="Q35" s="247"/>
      <c r="R35" s="238"/>
      <c r="S35" s="238"/>
      <c r="T35" s="238"/>
      <c r="U35" s="238"/>
      <c r="V35" s="238"/>
      <c r="W35" s="238"/>
      <c r="X35" s="238"/>
      <c r="Y35" s="238"/>
      <c r="Z35" s="238"/>
    </row>
    <row r="36">
      <c r="A36" s="252">
        <v>3.0</v>
      </c>
      <c r="B36" s="252">
        <v>3600.0</v>
      </c>
      <c r="C36" s="252">
        <v>90000.0</v>
      </c>
      <c r="D36" s="238"/>
      <c r="E36" s="248" t="s">
        <v>308</v>
      </c>
      <c r="F36" s="249">
        <v>6650.0</v>
      </c>
      <c r="G36" s="246">
        <v>430.0</v>
      </c>
      <c r="H36" s="246">
        <v>210.0</v>
      </c>
      <c r="I36" s="238"/>
      <c r="J36" s="247"/>
      <c r="K36" s="247"/>
      <c r="L36" s="247"/>
      <c r="M36" s="238"/>
      <c r="N36" s="238"/>
      <c r="O36" s="251"/>
      <c r="P36" s="247"/>
      <c r="Q36" s="247"/>
      <c r="R36" s="238"/>
      <c r="S36" s="238"/>
      <c r="T36" s="238"/>
      <c r="U36" s="238"/>
      <c r="V36" s="238"/>
      <c r="W36" s="238"/>
      <c r="X36" s="238"/>
      <c r="Y36" s="238"/>
      <c r="Z36" s="238"/>
    </row>
    <row r="37">
      <c r="A37" s="252">
        <v>10.0</v>
      </c>
      <c r="B37" s="252">
        <v>3000.0</v>
      </c>
      <c r="C37" s="252">
        <v>75000.0</v>
      </c>
      <c r="D37" s="238"/>
      <c r="E37" s="248" t="s">
        <v>309</v>
      </c>
      <c r="F37" s="249">
        <v>5990.0</v>
      </c>
      <c r="G37" s="246">
        <v>430.0</v>
      </c>
      <c r="H37" s="246">
        <v>210.0</v>
      </c>
      <c r="I37" s="238"/>
      <c r="J37" s="247"/>
      <c r="K37" s="247"/>
      <c r="L37" s="247"/>
      <c r="M37" s="238"/>
      <c r="N37" s="238"/>
      <c r="O37" s="251"/>
      <c r="P37" s="247"/>
      <c r="Q37" s="247"/>
      <c r="R37" s="238"/>
      <c r="S37" s="238"/>
      <c r="T37" s="238"/>
      <c r="U37" s="238"/>
      <c r="V37" s="238"/>
      <c r="W37" s="238"/>
      <c r="X37" s="238"/>
      <c r="Y37" s="238"/>
      <c r="Z37" s="238"/>
    </row>
    <row r="38">
      <c r="A38" s="252">
        <v>25.0</v>
      </c>
      <c r="B38" s="252">
        <v>2400.0</v>
      </c>
      <c r="C38" s="252">
        <v>60000.0</v>
      </c>
      <c r="D38" s="238"/>
      <c r="E38" s="248" t="s">
        <v>310</v>
      </c>
      <c r="F38" s="249">
        <v>5390.0</v>
      </c>
      <c r="G38" s="246">
        <v>430.0</v>
      </c>
      <c r="H38" s="246">
        <v>210.0</v>
      </c>
      <c r="I38" s="238"/>
      <c r="J38" s="247"/>
      <c r="K38" s="247"/>
      <c r="L38" s="247"/>
      <c r="M38" s="238"/>
      <c r="N38" s="238"/>
      <c r="O38" s="251"/>
      <c r="P38" s="247"/>
      <c r="Q38" s="247"/>
      <c r="R38" s="238"/>
      <c r="S38" s="238"/>
      <c r="T38" s="238"/>
      <c r="U38" s="238"/>
      <c r="V38" s="238"/>
      <c r="W38" s="238"/>
      <c r="X38" s="238"/>
      <c r="Y38" s="238"/>
      <c r="Z38" s="238"/>
    </row>
    <row r="39">
      <c r="A39" s="252">
        <v>50.0</v>
      </c>
      <c r="B39" s="252">
        <v>2100.0</v>
      </c>
      <c r="C39" s="252">
        <v>52500.0</v>
      </c>
      <c r="D39" s="238"/>
      <c r="E39" s="248" t="s">
        <v>311</v>
      </c>
      <c r="F39" s="249">
        <v>4850.0</v>
      </c>
      <c r="G39" s="246">
        <v>430.0</v>
      </c>
      <c r="H39" s="246">
        <v>210.0</v>
      </c>
      <c r="I39" s="238"/>
      <c r="J39" s="247"/>
      <c r="K39" s="247"/>
      <c r="L39" s="247"/>
      <c r="M39" s="238"/>
      <c r="N39" s="238"/>
      <c r="O39" s="251"/>
      <c r="P39" s="247"/>
      <c r="Q39" s="247"/>
      <c r="R39" s="238"/>
      <c r="S39" s="238"/>
      <c r="T39" s="238"/>
      <c r="U39" s="238"/>
      <c r="V39" s="238"/>
      <c r="W39" s="238"/>
      <c r="X39" s="238"/>
      <c r="Y39" s="238"/>
      <c r="Z39" s="238"/>
    </row>
    <row r="40">
      <c r="A40" s="252">
        <v>100.0</v>
      </c>
      <c r="B40" s="252">
        <v>1800.0</v>
      </c>
      <c r="C40" s="252">
        <v>45000.0</v>
      </c>
      <c r="D40" s="238"/>
      <c r="E40" s="248" t="s">
        <v>312</v>
      </c>
      <c r="F40" s="249">
        <v>4370.0</v>
      </c>
      <c r="G40" s="246">
        <v>430.0</v>
      </c>
      <c r="H40" s="246">
        <v>210.0</v>
      </c>
      <c r="I40" s="238"/>
      <c r="J40" s="247"/>
      <c r="K40" s="247"/>
      <c r="L40" s="247"/>
      <c r="M40" s="238"/>
      <c r="N40" s="238"/>
      <c r="O40" s="251"/>
      <c r="P40" s="247"/>
      <c r="Q40" s="247"/>
      <c r="R40" s="238"/>
      <c r="S40" s="238"/>
      <c r="T40" s="238"/>
      <c r="U40" s="238"/>
      <c r="V40" s="238"/>
      <c r="W40" s="238"/>
      <c r="X40" s="238"/>
      <c r="Y40" s="238"/>
      <c r="Z40" s="238"/>
    </row>
    <row r="41">
      <c r="A41" s="252">
        <v>250.0</v>
      </c>
      <c r="B41" s="252">
        <v>1500.0</v>
      </c>
      <c r="C41" s="252">
        <v>37500.0</v>
      </c>
      <c r="D41" s="238"/>
      <c r="E41" s="248" t="s">
        <v>313</v>
      </c>
      <c r="F41" s="249">
        <v>3930.0</v>
      </c>
      <c r="G41" s="246">
        <v>430.0</v>
      </c>
      <c r="H41" s="246">
        <v>210.0</v>
      </c>
      <c r="I41" s="238"/>
      <c r="J41" s="247"/>
      <c r="K41" s="247"/>
      <c r="L41" s="247"/>
      <c r="M41" s="238"/>
      <c r="N41" s="238"/>
      <c r="O41" s="251"/>
      <c r="P41" s="247"/>
      <c r="Q41" s="247"/>
      <c r="R41" s="238"/>
      <c r="S41" s="238"/>
      <c r="T41" s="238"/>
      <c r="U41" s="238"/>
      <c r="V41" s="238"/>
      <c r="W41" s="238"/>
      <c r="X41" s="238"/>
      <c r="Y41" s="238"/>
      <c r="Z41" s="238"/>
    </row>
    <row r="42">
      <c r="A42" s="252">
        <v>500.0</v>
      </c>
      <c r="B42" s="252">
        <v>1200.0</v>
      </c>
      <c r="C42" s="252">
        <v>30000.0</v>
      </c>
      <c r="D42" s="238"/>
      <c r="E42" s="248" t="s">
        <v>314</v>
      </c>
      <c r="F42" s="249">
        <v>3340.0</v>
      </c>
      <c r="G42" s="246">
        <v>430.0</v>
      </c>
      <c r="H42" s="246">
        <v>210.0</v>
      </c>
      <c r="I42" s="238"/>
      <c r="J42" s="247"/>
      <c r="K42" s="247"/>
      <c r="L42" s="247"/>
      <c r="M42" s="238"/>
      <c r="N42" s="238"/>
      <c r="O42" s="251"/>
      <c r="P42" s="247"/>
      <c r="Q42" s="247"/>
      <c r="R42" s="238"/>
      <c r="S42" s="238"/>
      <c r="T42" s="238"/>
      <c r="U42" s="238"/>
      <c r="V42" s="238"/>
      <c r="W42" s="238"/>
      <c r="X42" s="238"/>
      <c r="Y42" s="238"/>
      <c r="Z42" s="238"/>
    </row>
    <row r="43">
      <c r="A43" s="252">
        <v>1000.0</v>
      </c>
      <c r="B43" s="252">
        <v>900.0</v>
      </c>
      <c r="C43" s="252">
        <v>22500.0</v>
      </c>
      <c r="D43" s="238"/>
      <c r="E43" s="254"/>
      <c r="F43" s="255"/>
      <c r="G43" s="247"/>
      <c r="H43" s="247"/>
      <c r="I43" s="238"/>
      <c r="J43" s="247"/>
      <c r="K43" s="247"/>
      <c r="L43" s="247"/>
      <c r="M43" s="238"/>
      <c r="N43" s="238"/>
      <c r="O43" s="251"/>
      <c r="P43" s="247"/>
      <c r="Q43" s="247"/>
      <c r="R43" s="238"/>
      <c r="S43" s="238"/>
      <c r="T43" s="238"/>
      <c r="U43" s="238"/>
      <c r="V43" s="238"/>
      <c r="W43" s="238"/>
      <c r="X43" s="238"/>
      <c r="Y43" s="238"/>
      <c r="Z43" s="238"/>
    </row>
    <row r="44">
      <c r="A44" s="252">
        <v>2000.0</v>
      </c>
      <c r="B44" s="252">
        <v>780.0</v>
      </c>
      <c r="C44" s="252">
        <v>19500.0</v>
      </c>
      <c r="D44" s="238"/>
      <c r="E44" s="239" t="s">
        <v>315</v>
      </c>
      <c r="G44" s="247"/>
      <c r="H44" s="247"/>
      <c r="I44" s="238"/>
      <c r="J44" s="247"/>
      <c r="K44" s="247"/>
      <c r="L44" s="247"/>
      <c r="M44" s="238"/>
      <c r="N44" s="238"/>
      <c r="O44" s="251"/>
      <c r="P44" s="247"/>
      <c r="Q44" s="247"/>
      <c r="R44" s="238"/>
      <c r="S44" s="238"/>
      <c r="T44" s="238"/>
      <c r="U44" s="238"/>
      <c r="V44" s="238"/>
      <c r="W44" s="238"/>
      <c r="X44" s="238"/>
      <c r="Y44" s="238"/>
      <c r="Z44" s="238"/>
    </row>
    <row r="45">
      <c r="A45" s="252" t="str">
        <f>""</f>
        <v/>
      </c>
      <c r="B45" s="256">
        <v>0.0</v>
      </c>
      <c r="C45" s="256">
        <v>0.0</v>
      </c>
      <c r="D45" s="238"/>
      <c r="E45" s="243" t="s">
        <v>148</v>
      </c>
      <c r="F45" s="243" t="s">
        <v>90</v>
      </c>
      <c r="G45" s="247"/>
      <c r="H45" s="247"/>
      <c r="I45" s="238"/>
      <c r="J45" s="247"/>
      <c r="K45" s="247"/>
      <c r="L45" s="247"/>
      <c r="M45" s="238"/>
      <c r="N45" s="238"/>
      <c r="O45" s="251"/>
      <c r="P45" s="247"/>
      <c r="Q45" s="247"/>
      <c r="R45" s="238"/>
      <c r="S45" s="238"/>
      <c r="T45" s="238"/>
      <c r="U45" s="238"/>
      <c r="V45" s="238"/>
      <c r="W45" s="238"/>
      <c r="X45" s="238"/>
      <c r="Y45" s="238"/>
      <c r="Z45" s="238"/>
    </row>
    <row r="46">
      <c r="A46" s="252"/>
      <c r="B46" s="252"/>
      <c r="C46" s="247"/>
      <c r="D46" s="238"/>
      <c r="E46" s="248" t="s">
        <v>238</v>
      </c>
      <c r="F46" s="249">
        <v>8280.0</v>
      </c>
      <c r="G46" s="247"/>
      <c r="H46" s="247"/>
      <c r="I46" s="238"/>
      <c r="J46" s="247"/>
      <c r="K46" s="247"/>
      <c r="L46" s="247"/>
      <c r="M46" s="238"/>
      <c r="N46" s="238"/>
      <c r="O46" s="251"/>
      <c r="P46" s="247"/>
      <c r="Q46" s="247"/>
      <c r="R46" s="238"/>
      <c r="S46" s="238"/>
      <c r="T46" s="238"/>
      <c r="U46" s="238"/>
      <c r="V46" s="238"/>
      <c r="W46" s="238"/>
      <c r="X46" s="238"/>
      <c r="Y46" s="238"/>
      <c r="Z46" s="238"/>
    </row>
    <row r="47">
      <c r="A47" s="240" t="s">
        <v>316</v>
      </c>
      <c r="B47" s="240" t="s">
        <v>90</v>
      </c>
      <c r="C47" s="240" t="s">
        <v>196</v>
      </c>
      <c r="D47" s="238"/>
      <c r="E47" s="248" t="s">
        <v>240</v>
      </c>
      <c r="F47" s="249">
        <v>5382.0</v>
      </c>
      <c r="G47" s="247"/>
      <c r="H47" s="247"/>
      <c r="I47" s="238"/>
      <c r="J47" s="247"/>
      <c r="K47" s="247"/>
      <c r="L47" s="247"/>
      <c r="M47" s="238"/>
      <c r="N47" s="238"/>
      <c r="O47" s="251"/>
      <c r="P47" s="247"/>
      <c r="Q47" s="247"/>
      <c r="R47" s="238"/>
      <c r="S47" s="238"/>
      <c r="T47" s="238"/>
      <c r="U47" s="238"/>
      <c r="V47" s="238"/>
      <c r="W47" s="238"/>
      <c r="X47" s="238"/>
      <c r="Y47" s="238"/>
      <c r="Z47" s="238"/>
    </row>
    <row r="48">
      <c r="A48" s="252">
        <v>1.0</v>
      </c>
      <c r="B48" s="252">
        <v>8000.0</v>
      </c>
      <c r="C48" s="252">
        <v>200000.0</v>
      </c>
      <c r="D48" s="238"/>
      <c r="E48" s="248" t="s">
        <v>159</v>
      </c>
      <c r="F48" s="249">
        <v>4140.0</v>
      </c>
      <c r="G48" s="247"/>
      <c r="H48" s="247"/>
      <c r="I48" s="238"/>
      <c r="J48" s="247"/>
      <c r="K48" s="247"/>
      <c r="L48" s="247"/>
      <c r="M48" s="238"/>
      <c r="N48" s="238"/>
      <c r="O48" s="251"/>
      <c r="P48" s="247"/>
      <c r="Q48" s="247"/>
      <c r="R48" s="238"/>
      <c r="S48" s="238"/>
      <c r="T48" s="238"/>
      <c r="U48" s="238"/>
      <c r="V48" s="238"/>
      <c r="W48" s="238"/>
      <c r="X48" s="238"/>
      <c r="Y48" s="238"/>
      <c r="Z48" s="238"/>
    </row>
    <row r="49">
      <c r="A49" s="252">
        <v>2.0</v>
      </c>
      <c r="B49" s="252">
        <v>6000.0</v>
      </c>
      <c r="C49" s="252">
        <v>150000.0</v>
      </c>
      <c r="D49" s="238"/>
      <c r="E49" s="248" t="s">
        <v>317</v>
      </c>
      <c r="F49" s="249">
        <v>3312.0</v>
      </c>
      <c r="G49" s="247"/>
      <c r="H49" s="247"/>
      <c r="I49" s="238"/>
      <c r="J49" s="247"/>
      <c r="K49" s="247"/>
      <c r="L49" s="247"/>
      <c r="M49" s="238"/>
      <c r="N49" s="238"/>
      <c r="O49" s="251"/>
      <c r="P49" s="247"/>
      <c r="Q49" s="247"/>
      <c r="R49" s="238"/>
      <c r="S49" s="238"/>
      <c r="T49" s="238"/>
      <c r="U49" s="238"/>
      <c r="V49" s="238"/>
      <c r="W49" s="238"/>
      <c r="X49" s="238"/>
      <c r="Y49" s="238"/>
      <c r="Z49" s="238"/>
    </row>
    <row r="50">
      <c r="A50" s="252">
        <v>3.0</v>
      </c>
      <c r="B50" s="252">
        <v>4800.0</v>
      </c>
      <c r="C50" s="252">
        <v>120000.0</v>
      </c>
      <c r="D50" s="238"/>
      <c r="E50" s="248" t="s">
        <v>318</v>
      </c>
      <c r="F50" s="249">
        <v>3144.0</v>
      </c>
      <c r="G50" s="247"/>
      <c r="H50" s="247"/>
      <c r="I50" s="238"/>
      <c r="J50" s="247"/>
      <c r="K50" s="247"/>
      <c r="L50" s="247"/>
      <c r="M50" s="238"/>
      <c r="N50" s="238"/>
      <c r="O50" s="251"/>
      <c r="P50" s="247"/>
      <c r="Q50" s="247"/>
      <c r="R50" s="238"/>
      <c r="S50" s="238"/>
      <c r="T50" s="238"/>
      <c r="U50" s="238"/>
      <c r="V50" s="238"/>
      <c r="W50" s="238"/>
      <c r="X50" s="238"/>
      <c r="Y50" s="238"/>
      <c r="Z50" s="238"/>
    </row>
    <row r="51">
      <c r="A51" s="252">
        <v>10.0</v>
      </c>
      <c r="B51" s="252">
        <v>4000.0</v>
      </c>
      <c r="C51" s="252">
        <v>100000.0</v>
      </c>
      <c r="D51" s="238"/>
      <c r="E51" s="248" t="s">
        <v>319</v>
      </c>
      <c r="F51" s="249">
        <v>2982.0</v>
      </c>
      <c r="G51" s="247"/>
      <c r="H51" s="247"/>
      <c r="I51" s="238"/>
      <c r="J51" s="247"/>
      <c r="K51" s="247"/>
      <c r="L51" s="247"/>
      <c r="M51" s="238"/>
      <c r="N51" s="238"/>
      <c r="O51" s="251"/>
      <c r="P51" s="247"/>
      <c r="Q51" s="247"/>
      <c r="R51" s="238"/>
      <c r="S51" s="238"/>
      <c r="T51" s="238"/>
      <c r="U51" s="238"/>
      <c r="V51" s="238"/>
      <c r="W51" s="238"/>
      <c r="X51" s="238"/>
      <c r="Y51" s="238"/>
      <c r="Z51" s="238"/>
    </row>
    <row r="52">
      <c r="A52" s="252">
        <v>25.0</v>
      </c>
      <c r="B52" s="252">
        <v>3200.0</v>
      </c>
      <c r="C52" s="252">
        <v>80000.0</v>
      </c>
      <c r="D52" s="238"/>
      <c r="E52" s="248" t="s">
        <v>320</v>
      </c>
      <c r="F52" s="249">
        <v>2814.0</v>
      </c>
      <c r="G52" s="247"/>
      <c r="H52" s="247"/>
      <c r="I52" s="238"/>
      <c r="J52" s="247"/>
      <c r="K52" s="247"/>
      <c r="L52" s="247"/>
      <c r="M52" s="238"/>
      <c r="N52" s="238"/>
      <c r="O52" s="251"/>
      <c r="P52" s="247"/>
      <c r="Q52" s="247"/>
      <c r="R52" s="238"/>
      <c r="S52" s="238"/>
      <c r="T52" s="238"/>
      <c r="U52" s="238"/>
      <c r="V52" s="238"/>
      <c r="W52" s="238"/>
      <c r="X52" s="238"/>
      <c r="Y52" s="238"/>
      <c r="Z52" s="238"/>
    </row>
    <row r="53">
      <c r="A53" s="252">
        <v>50.0</v>
      </c>
      <c r="B53" s="252">
        <v>2800.0</v>
      </c>
      <c r="C53" s="252">
        <v>70000.0</v>
      </c>
      <c r="D53" s="238"/>
      <c r="E53" s="248" t="s">
        <v>321</v>
      </c>
      <c r="F53" s="249">
        <v>2568.0</v>
      </c>
      <c r="G53" s="247"/>
      <c r="H53" s="247"/>
      <c r="I53" s="238"/>
      <c r="J53" s="247"/>
      <c r="K53" s="247"/>
      <c r="L53" s="247"/>
      <c r="M53" s="238"/>
      <c r="N53" s="238"/>
      <c r="O53" s="251"/>
      <c r="P53" s="247"/>
      <c r="Q53" s="247"/>
      <c r="R53" s="238"/>
      <c r="S53" s="238"/>
      <c r="T53" s="238"/>
      <c r="U53" s="238"/>
      <c r="V53" s="238"/>
      <c r="W53" s="238"/>
      <c r="X53" s="238"/>
      <c r="Y53" s="238"/>
      <c r="Z53" s="238"/>
    </row>
    <row r="54">
      <c r="A54" s="252">
        <v>100.0</v>
      </c>
      <c r="B54" s="252">
        <v>2400.0</v>
      </c>
      <c r="C54" s="252">
        <v>60000.0</v>
      </c>
      <c r="D54" s="238"/>
      <c r="E54" s="248" t="s">
        <v>322</v>
      </c>
      <c r="F54" s="249">
        <v>2400.0</v>
      </c>
      <c r="G54" s="247"/>
      <c r="H54" s="247"/>
      <c r="I54" s="238"/>
      <c r="J54" s="247"/>
      <c r="K54" s="247"/>
      <c r="L54" s="247"/>
      <c r="M54" s="238"/>
      <c r="N54" s="238"/>
      <c r="O54" s="251"/>
      <c r="P54" s="247"/>
      <c r="Q54" s="247"/>
      <c r="R54" s="238"/>
      <c r="S54" s="238"/>
      <c r="T54" s="238"/>
      <c r="U54" s="238"/>
      <c r="V54" s="238"/>
      <c r="W54" s="238"/>
      <c r="X54" s="238"/>
      <c r="Y54" s="238"/>
      <c r="Z54" s="238"/>
    </row>
    <row r="55">
      <c r="A55" s="252">
        <v>250.0</v>
      </c>
      <c r="B55" s="252">
        <v>2000.0</v>
      </c>
      <c r="C55" s="252">
        <v>50000.0</v>
      </c>
      <c r="D55" s="238"/>
      <c r="E55" s="248" t="s">
        <v>323</v>
      </c>
      <c r="F55" s="249">
        <v>2316.0</v>
      </c>
      <c r="G55" s="238"/>
      <c r="H55" s="247"/>
      <c r="I55" s="238"/>
      <c r="J55" s="247"/>
      <c r="K55" s="247"/>
      <c r="L55" s="247"/>
      <c r="M55" s="238"/>
      <c r="N55" s="238"/>
      <c r="O55" s="251"/>
      <c r="P55" s="247"/>
      <c r="Q55" s="247"/>
      <c r="R55" s="238"/>
      <c r="S55" s="238"/>
      <c r="T55" s="238"/>
      <c r="U55" s="238"/>
      <c r="V55" s="238"/>
      <c r="W55" s="238"/>
      <c r="X55" s="238"/>
      <c r="Y55" s="238"/>
      <c r="Z55" s="238"/>
    </row>
    <row r="56">
      <c r="A56" s="252">
        <v>500.0</v>
      </c>
      <c r="B56" s="252">
        <v>1600.0</v>
      </c>
      <c r="C56" s="252">
        <v>40000.0</v>
      </c>
      <c r="D56" s="238"/>
      <c r="E56" s="248" t="s">
        <v>324</v>
      </c>
      <c r="F56" s="249">
        <v>2238.0</v>
      </c>
      <c r="G56" s="238"/>
      <c r="H56" s="247"/>
      <c r="I56" s="238"/>
      <c r="J56" s="247"/>
      <c r="K56" s="247"/>
      <c r="L56" s="247"/>
      <c r="M56" s="238"/>
      <c r="N56" s="238"/>
      <c r="O56" s="251"/>
      <c r="P56" s="247"/>
      <c r="Q56" s="247"/>
      <c r="R56" s="238"/>
      <c r="S56" s="238"/>
      <c r="T56" s="238"/>
      <c r="U56" s="238"/>
      <c r="V56" s="238"/>
      <c r="W56" s="238"/>
      <c r="X56" s="238"/>
      <c r="Y56" s="238"/>
      <c r="Z56" s="238"/>
    </row>
    <row r="57">
      <c r="A57" s="252">
        <v>1000.0</v>
      </c>
      <c r="B57" s="252">
        <v>1200.0</v>
      </c>
      <c r="C57" s="252">
        <v>30000.0</v>
      </c>
      <c r="D57" s="238"/>
      <c r="E57" s="248" t="s">
        <v>249</v>
      </c>
      <c r="F57" s="249">
        <v>6360.0</v>
      </c>
      <c r="G57" s="238"/>
      <c r="H57" s="247"/>
      <c r="I57" s="238"/>
      <c r="J57" s="247"/>
      <c r="K57" s="247"/>
      <c r="L57" s="247"/>
      <c r="M57" s="238"/>
      <c r="N57" s="238"/>
      <c r="O57" s="251"/>
      <c r="P57" s="247"/>
      <c r="Q57" s="247"/>
      <c r="R57" s="238"/>
      <c r="S57" s="238"/>
      <c r="T57" s="238"/>
      <c r="U57" s="238"/>
      <c r="V57" s="238"/>
      <c r="W57" s="238"/>
      <c r="X57" s="238"/>
      <c r="Y57" s="238"/>
      <c r="Z57" s="238"/>
    </row>
    <row r="58">
      <c r="A58" s="252">
        <v>2000.0</v>
      </c>
      <c r="B58" s="252">
        <v>1040.0</v>
      </c>
      <c r="C58" s="252">
        <v>26000.0</v>
      </c>
      <c r="D58" s="238"/>
      <c r="E58" s="248" t="s">
        <v>251</v>
      </c>
      <c r="F58" s="249">
        <v>4134.0</v>
      </c>
      <c r="G58" s="238"/>
      <c r="H58" s="247"/>
      <c r="I58" s="238"/>
      <c r="J58" s="247"/>
      <c r="K58" s="247"/>
      <c r="L58" s="247"/>
      <c r="M58" s="238"/>
      <c r="N58" s="238"/>
      <c r="O58" s="251"/>
      <c r="P58" s="247"/>
      <c r="Q58" s="247"/>
      <c r="R58" s="238"/>
      <c r="S58" s="238"/>
      <c r="T58" s="238"/>
      <c r="U58" s="238"/>
      <c r="V58" s="238"/>
      <c r="W58" s="238"/>
      <c r="X58" s="238"/>
      <c r="Y58" s="238"/>
      <c r="Z58" s="238"/>
    </row>
    <row r="59">
      <c r="A59" s="252"/>
      <c r="B59" s="252"/>
      <c r="C59" s="247"/>
      <c r="D59" s="238"/>
      <c r="E59" s="248" t="s">
        <v>253</v>
      </c>
      <c r="F59" s="249">
        <v>3180.0</v>
      </c>
      <c r="G59" s="238"/>
      <c r="H59" s="247"/>
      <c r="I59" s="238"/>
      <c r="J59" s="247"/>
      <c r="K59" s="247"/>
      <c r="L59" s="247"/>
      <c r="M59" s="238"/>
      <c r="N59" s="238"/>
      <c r="O59" s="251"/>
      <c r="P59" s="247"/>
      <c r="Q59" s="247"/>
      <c r="R59" s="238"/>
      <c r="S59" s="238"/>
      <c r="T59" s="238"/>
      <c r="U59" s="238"/>
      <c r="V59" s="238"/>
      <c r="W59" s="238"/>
      <c r="X59" s="238"/>
      <c r="Y59" s="238"/>
      <c r="Z59" s="238"/>
    </row>
    <row r="60">
      <c r="A60" s="240" t="s">
        <v>325</v>
      </c>
      <c r="B60" s="240" t="s">
        <v>90</v>
      </c>
      <c r="C60" s="240" t="s">
        <v>196</v>
      </c>
      <c r="D60" s="238"/>
      <c r="E60" s="248" t="s">
        <v>326</v>
      </c>
      <c r="F60" s="249">
        <v>2544.0</v>
      </c>
      <c r="G60" s="238"/>
      <c r="H60" s="247"/>
      <c r="I60" s="238"/>
      <c r="J60" s="247"/>
      <c r="K60" s="247"/>
      <c r="L60" s="247"/>
      <c r="M60" s="238"/>
      <c r="N60" s="238"/>
      <c r="O60" s="251"/>
      <c r="P60" s="247"/>
      <c r="Q60" s="247"/>
      <c r="R60" s="238"/>
      <c r="S60" s="238"/>
      <c r="T60" s="238"/>
      <c r="U60" s="238"/>
      <c r="V60" s="238"/>
      <c r="W60" s="238"/>
      <c r="X60" s="238"/>
      <c r="Y60" s="238"/>
      <c r="Z60" s="238"/>
    </row>
    <row r="61">
      <c r="A61" s="252">
        <v>1.0</v>
      </c>
      <c r="B61" s="252">
        <v>15000.0</v>
      </c>
      <c r="C61" s="252">
        <v>375000.0</v>
      </c>
      <c r="D61" s="238"/>
      <c r="E61" s="248" t="s">
        <v>327</v>
      </c>
      <c r="F61" s="249">
        <v>2418.0</v>
      </c>
      <c r="G61" s="238"/>
      <c r="H61" s="247"/>
      <c r="I61" s="238"/>
      <c r="J61" s="247"/>
      <c r="K61" s="247"/>
      <c r="L61" s="247"/>
      <c r="M61" s="238"/>
      <c r="N61" s="238"/>
      <c r="O61" s="251"/>
      <c r="P61" s="247"/>
      <c r="Q61" s="247"/>
      <c r="R61" s="238"/>
      <c r="S61" s="238"/>
      <c r="T61" s="238"/>
      <c r="U61" s="238"/>
      <c r="V61" s="238"/>
      <c r="W61" s="238"/>
      <c r="X61" s="238"/>
      <c r="Y61" s="238"/>
      <c r="Z61" s="238"/>
    </row>
    <row r="62">
      <c r="A62" s="252">
        <v>2.0</v>
      </c>
      <c r="B62" s="252">
        <v>12000.0</v>
      </c>
      <c r="C62" s="252">
        <v>300000.0</v>
      </c>
      <c r="D62" s="238"/>
      <c r="E62" s="248" t="s">
        <v>328</v>
      </c>
      <c r="F62" s="249">
        <v>2292.0</v>
      </c>
      <c r="G62" s="238"/>
      <c r="H62" s="247"/>
      <c r="I62" s="238"/>
      <c r="J62" s="247"/>
      <c r="K62" s="247"/>
      <c r="L62" s="247"/>
      <c r="M62" s="238"/>
      <c r="N62" s="238"/>
      <c r="O62" s="251"/>
      <c r="P62" s="247"/>
      <c r="Q62" s="247"/>
      <c r="R62" s="238"/>
      <c r="S62" s="238"/>
      <c r="T62" s="238"/>
      <c r="U62" s="238"/>
      <c r="V62" s="238"/>
      <c r="W62" s="238"/>
      <c r="X62" s="238"/>
      <c r="Y62" s="238"/>
      <c r="Z62" s="238"/>
    </row>
    <row r="63">
      <c r="A63" s="252">
        <v>3.0</v>
      </c>
      <c r="B63" s="252">
        <v>10000.0</v>
      </c>
      <c r="C63" s="252">
        <v>250000.0</v>
      </c>
      <c r="D63" s="238"/>
      <c r="E63" s="248" t="s">
        <v>329</v>
      </c>
      <c r="F63" s="249">
        <v>2160.0</v>
      </c>
      <c r="G63" s="238"/>
      <c r="H63" s="247"/>
      <c r="I63" s="238"/>
      <c r="J63" s="247"/>
      <c r="K63" s="247"/>
      <c r="L63" s="247"/>
      <c r="M63" s="238"/>
      <c r="N63" s="238"/>
      <c r="O63" s="251"/>
      <c r="P63" s="247"/>
      <c r="Q63" s="247"/>
      <c r="R63" s="238"/>
      <c r="S63" s="238"/>
      <c r="T63" s="238"/>
      <c r="U63" s="238"/>
      <c r="V63" s="238"/>
      <c r="W63" s="238"/>
      <c r="X63" s="238"/>
      <c r="Y63" s="238"/>
      <c r="Z63" s="238"/>
    </row>
    <row r="64">
      <c r="A64" s="252">
        <v>10.0</v>
      </c>
      <c r="B64" s="252">
        <v>8000.0</v>
      </c>
      <c r="C64" s="252">
        <v>187500.0</v>
      </c>
      <c r="D64" s="238"/>
      <c r="E64" s="248" t="s">
        <v>330</v>
      </c>
      <c r="F64" s="249">
        <v>1974.0</v>
      </c>
      <c r="G64" s="238"/>
      <c r="H64" s="247"/>
      <c r="I64" s="238"/>
      <c r="J64" s="247"/>
      <c r="K64" s="247"/>
      <c r="L64" s="247"/>
      <c r="M64" s="238"/>
      <c r="N64" s="238"/>
      <c r="O64" s="251"/>
      <c r="P64" s="247"/>
      <c r="Q64" s="247"/>
      <c r="R64" s="238"/>
      <c r="S64" s="238"/>
      <c r="T64" s="238"/>
      <c r="U64" s="238"/>
      <c r="V64" s="238"/>
      <c r="W64" s="238"/>
      <c r="X64" s="238"/>
      <c r="Y64" s="238"/>
      <c r="Z64" s="238"/>
    </row>
    <row r="65">
      <c r="A65" s="252">
        <v>25.0</v>
      </c>
      <c r="B65" s="252">
        <v>7000.0</v>
      </c>
      <c r="C65" s="252">
        <v>150000.0</v>
      </c>
      <c r="D65" s="238"/>
      <c r="E65" s="248" t="s">
        <v>331</v>
      </c>
      <c r="F65" s="249">
        <v>1842.0</v>
      </c>
      <c r="G65" s="238"/>
      <c r="H65" s="247"/>
      <c r="I65" s="238"/>
      <c r="J65" s="247"/>
      <c r="K65" s="247"/>
      <c r="L65" s="247"/>
      <c r="M65" s="238"/>
      <c r="N65" s="238"/>
      <c r="O65" s="251"/>
      <c r="P65" s="247"/>
      <c r="Q65" s="247"/>
      <c r="R65" s="238"/>
      <c r="S65" s="238"/>
      <c r="T65" s="238"/>
      <c r="U65" s="238"/>
      <c r="V65" s="238"/>
      <c r="W65" s="238"/>
      <c r="X65" s="238"/>
      <c r="Y65" s="238"/>
      <c r="Z65" s="238"/>
    </row>
    <row r="66">
      <c r="A66" s="252">
        <v>50.0</v>
      </c>
      <c r="B66" s="252">
        <v>6000.0</v>
      </c>
      <c r="C66" s="252">
        <v>125000.0</v>
      </c>
      <c r="D66" s="238"/>
      <c r="E66" s="248" t="s">
        <v>332</v>
      </c>
      <c r="F66" s="249">
        <v>1782.0</v>
      </c>
      <c r="G66" s="238"/>
      <c r="H66" s="247"/>
      <c r="I66" s="238"/>
      <c r="J66" s="247"/>
      <c r="K66" s="247"/>
      <c r="L66" s="247"/>
      <c r="M66" s="238"/>
      <c r="N66" s="238"/>
      <c r="O66" s="251"/>
      <c r="P66" s="247"/>
      <c r="Q66" s="247"/>
      <c r="R66" s="238"/>
      <c r="S66" s="238"/>
      <c r="T66" s="238"/>
      <c r="U66" s="238"/>
      <c r="V66" s="238"/>
      <c r="W66" s="238"/>
      <c r="X66" s="238"/>
      <c r="Y66" s="238"/>
      <c r="Z66" s="238"/>
    </row>
    <row r="67">
      <c r="A67" s="252">
        <v>100.0</v>
      </c>
      <c r="B67" s="252">
        <v>5000.0</v>
      </c>
      <c r="C67" s="252">
        <v>100000.0</v>
      </c>
      <c r="D67" s="238"/>
      <c r="E67" s="248" t="s">
        <v>333</v>
      </c>
      <c r="F67" s="249">
        <v>1716.0</v>
      </c>
      <c r="G67" s="238"/>
      <c r="H67" s="247"/>
      <c r="I67" s="238"/>
      <c r="J67" s="247"/>
      <c r="K67" s="247"/>
      <c r="L67" s="247"/>
      <c r="M67" s="238"/>
      <c r="N67" s="238"/>
      <c r="O67" s="251"/>
      <c r="P67" s="247"/>
      <c r="Q67" s="247"/>
      <c r="R67" s="238"/>
      <c r="S67" s="238"/>
      <c r="T67" s="238"/>
      <c r="U67" s="238"/>
      <c r="V67" s="238"/>
      <c r="W67" s="238"/>
      <c r="X67" s="238"/>
      <c r="Y67" s="238"/>
      <c r="Z67" s="238"/>
    </row>
    <row r="68">
      <c r="A68" s="252">
        <v>250.0</v>
      </c>
      <c r="B68" s="252">
        <v>4000.0</v>
      </c>
      <c r="C68" s="252">
        <v>87500.0</v>
      </c>
      <c r="D68" s="238"/>
      <c r="E68" s="248" t="s">
        <v>263</v>
      </c>
      <c r="F68" s="249">
        <v>4890.0</v>
      </c>
      <c r="G68" s="238"/>
      <c r="H68" s="247"/>
      <c r="I68" s="238"/>
      <c r="J68" s="247"/>
      <c r="K68" s="247"/>
      <c r="L68" s="247"/>
      <c r="M68" s="238"/>
      <c r="N68" s="238"/>
      <c r="O68" s="251"/>
      <c r="P68" s="247"/>
      <c r="Q68" s="247"/>
      <c r="R68" s="238"/>
      <c r="S68" s="238"/>
      <c r="T68" s="238"/>
      <c r="U68" s="238"/>
      <c r="V68" s="238"/>
      <c r="W68" s="238"/>
      <c r="X68" s="238"/>
      <c r="Y68" s="238"/>
      <c r="Z68" s="238"/>
    </row>
    <row r="69">
      <c r="A69" s="252">
        <v>500.0</v>
      </c>
      <c r="B69" s="252">
        <v>3000.0</v>
      </c>
      <c r="C69" s="252">
        <v>75000.0</v>
      </c>
      <c r="D69" s="238"/>
      <c r="E69" s="248" t="s">
        <v>266</v>
      </c>
      <c r="F69" s="249">
        <v>3180.0</v>
      </c>
      <c r="G69" s="238"/>
      <c r="H69" s="247"/>
      <c r="I69" s="238"/>
      <c r="J69" s="247"/>
      <c r="K69" s="247"/>
      <c r="L69" s="247"/>
      <c r="M69" s="238"/>
      <c r="N69" s="238"/>
      <c r="O69" s="251"/>
      <c r="P69" s="247"/>
      <c r="Q69" s="247"/>
      <c r="R69" s="238"/>
      <c r="S69" s="238"/>
      <c r="T69" s="238"/>
      <c r="U69" s="238"/>
      <c r="V69" s="238"/>
      <c r="W69" s="238"/>
      <c r="X69" s="238"/>
      <c r="Y69" s="238"/>
      <c r="Z69" s="238"/>
    </row>
    <row r="70">
      <c r="A70" s="252">
        <v>1000.0</v>
      </c>
      <c r="B70" s="252">
        <v>2500.0</v>
      </c>
      <c r="C70" s="252">
        <v>62500.0</v>
      </c>
      <c r="D70" s="238"/>
      <c r="E70" s="248" t="s">
        <v>268</v>
      </c>
      <c r="F70" s="249">
        <v>2448.0</v>
      </c>
      <c r="G70" s="238"/>
      <c r="H70" s="247"/>
      <c r="I70" s="238"/>
      <c r="J70" s="247"/>
      <c r="K70" s="247"/>
      <c r="L70" s="247"/>
      <c r="M70" s="238"/>
      <c r="N70" s="238"/>
      <c r="O70" s="251"/>
      <c r="P70" s="247"/>
      <c r="Q70" s="247"/>
      <c r="R70" s="238"/>
      <c r="S70" s="238"/>
      <c r="T70" s="238"/>
      <c r="U70" s="238"/>
      <c r="V70" s="238"/>
      <c r="W70" s="238"/>
      <c r="X70" s="238"/>
      <c r="Y70" s="238"/>
      <c r="Z70" s="238"/>
    </row>
    <row r="71">
      <c r="A71" s="252">
        <v>2000.0</v>
      </c>
      <c r="B71" s="252">
        <v>2000.0</v>
      </c>
      <c r="C71" s="252">
        <v>50000.0</v>
      </c>
      <c r="D71" s="238"/>
      <c r="E71" s="248" t="s">
        <v>334</v>
      </c>
      <c r="F71" s="249">
        <v>1956.0</v>
      </c>
      <c r="G71" s="238"/>
      <c r="H71" s="247"/>
      <c r="I71" s="238"/>
      <c r="J71" s="247"/>
      <c r="K71" s="247"/>
      <c r="L71" s="247"/>
      <c r="M71" s="238"/>
      <c r="N71" s="238"/>
      <c r="O71" s="251"/>
      <c r="P71" s="247"/>
      <c r="Q71" s="247"/>
      <c r="R71" s="238"/>
      <c r="S71" s="238"/>
      <c r="T71" s="238"/>
      <c r="U71" s="238"/>
      <c r="V71" s="238"/>
      <c r="W71" s="238"/>
      <c r="X71" s="238"/>
      <c r="Y71" s="238"/>
      <c r="Z71" s="238"/>
    </row>
    <row r="72">
      <c r="A72" s="252"/>
      <c r="B72" s="252"/>
      <c r="C72" s="247"/>
      <c r="D72" s="238"/>
      <c r="E72" s="248" t="s">
        <v>335</v>
      </c>
      <c r="F72" s="249">
        <v>1860.0</v>
      </c>
      <c r="G72" s="238"/>
      <c r="H72" s="247"/>
      <c r="I72" s="238"/>
      <c r="J72" s="247"/>
      <c r="K72" s="247"/>
      <c r="L72" s="247"/>
      <c r="M72" s="238"/>
      <c r="N72" s="238"/>
      <c r="O72" s="251"/>
      <c r="P72" s="247"/>
      <c r="Q72" s="247"/>
      <c r="R72" s="238"/>
      <c r="S72" s="238"/>
      <c r="T72" s="238"/>
      <c r="U72" s="238"/>
      <c r="V72" s="238"/>
      <c r="W72" s="238"/>
      <c r="X72" s="238"/>
      <c r="Y72" s="238"/>
      <c r="Z72" s="238"/>
    </row>
    <row r="73">
      <c r="A73" s="240" t="s">
        <v>336</v>
      </c>
      <c r="B73" s="240" t="s">
        <v>90</v>
      </c>
      <c r="C73" s="240" t="s">
        <v>196</v>
      </c>
      <c r="D73" s="238"/>
      <c r="E73" s="248" t="s">
        <v>337</v>
      </c>
      <c r="F73" s="249">
        <v>1758.0</v>
      </c>
      <c r="G73" s="238"/>
      <c r="H73" s="247"/>
      <c r="I73" s="238"/>
      <c r="J73" s="247"/>
      <c r="K73" s="247"/>
      <c r="L73" s="247"/>
      <c r="M73" s="238"/>
      <c r="N73" s="238"/>
      <c r="O73" s="251"/>
      <c r="P73" s="247"/>
      <c r="Q73" s="247"/>
      <c r="R73" s="238"/>
      <c r="S73" s="238"/>
      <c r="T73" s="238"/>
      <c r="U73" s="238"/>
      <c r="V73" s="238"/>
      <c r="W73" s="238"/>
      <c r="X73" s="238"/>
      <c r="Y73" s="238"/>
      <c r="Z73" s="238"/>
    </row>
    <row r="74">
      <c r="A74" s="252">
        <v>1.0</v>
      </c>
      <c r="B74" s="252">
        <v>20000.0</v>
      </c>
      <c r="C74" s="252">
        <v>500000.0</v>
      </c>
      <c r="D74" s="238"/>
      <c r="E74" s="248" t="s">
        <v>338</v>
      </c>
      <c r="F74" s="249">
        <v>1662.0</v>
      </c>
      <c r="G74" s="238"/>
      <c r="H74" s="247"/>
      <c r="I74" s="238"/>
      <c r="J74" s="247"/>
      <c r="K74" s="247"/>
      <c r="L74" s="247"/>
      <c r="M74" s="238"/>
      <c r="N74" s="238"/>
      <c r="O74" s="251"/>
      <c r="P74" s="247"/>
      <c r="Q74" s="247"/>
      <c r="R74" s="238"/>
      <c r="S74" s="238"/>
      <c r="T74" s="238"/>
      <c r="U74" s="238"/>
      <c r="V74" s="238"/>
      <c r="W74" s="238"/>
      <c r="X74" s="238"/>
      <c r="Y74" s="238"/>
      <c r="Z74" s="238"/>
    </row>
    <row r="75">
      <c r="A75" s="252">
        <v>2.0</v>
      </c>
      <c r="B75" s="252">
        <v>16000.0</v>
      </c>
      <c r="C75" s="252">
        <v>375000.0</v>
      </c>
      <c r="D75" s="238"/>
      <c r="E75" s="248" t="s">
        <v>339</v>
      </c>
      <c r="F75" s="249">
        <v>1518.0</v>
      </c>
      <c r="G75" s="238"/>
      <c r="H75" s="247"/>
      <c r="I75" s="238"/>
      <c r="J75" s="247"/>
      <c r="K75" s="247"/>
      <c r="L75" s="247"/>
      <c r="M75" s="238"/>
      <c r="N75" s="238"/>
      <c r="O75" s="251"/>
      <c r="P75" s="247"/>
      <c r="Q75" s="247"/>
      <c r="R75" s="238"/>
      <c r="S75" s="238"/>
      <c r="T75" s="238"/>
      <c r="U75" s="238"/>
      <c r="V75" s="238"/>
      <c r="W75" s="238"/>
      <c r="X75" s="238"/>
      <c r="Y75" s="238"/>
      <c r="Z75" s="238"/>
    </row>
    <row r="76">
      <c r="A76" s="252">
        <v>3.0</v>
      </c>
      <c r="B76" s="252">
        <v>14000.0</v>
      </c>
      <c r="C76" s="252">
        <v>300000.0</v>
      </c>
      <c r="D76" s="238"/>
      <c r="E76" s="248" t="s">
        <v>340</v>
      </c>
      <c r="F76" s="249">
        <v>1416.0</v>
      </c>
      <c r="G76" s="238"/>
      <c r="H76" s="247"/>
      <c r="I76" s="238"/>
      <c r="J76" s="247"/>
      <c r="K76" s="247"/>
      <c r="L76" s="247"/>
      <c r="M76" s="238"/>
      <c r="N76" s="238"/>
      <c r="O76" s="251"/>
      <c r="P76" s="247"/>
      <c r="Q76" s="247"/>
      <c r="R76" s="238"/>
      <c r="S76" s="238"/>
      <c r="T76" s="238"/>
      <c r="U76" s="238"/>
      <c r="V76" s="238"/>
      <c r="W76" s="238"/>
      <c r="X76" s="238"/>
      <c r="Y76" s="238"/>
      <c r="Z76" s="238"/>
    </row>
    <row r="77">
      <c r="A77" s="252">
        <v>10.0</v>
      </c>
      <c r="B77" s="252">
        <v>12000.0</v>
      </c>
      <c r="C77" s="252">
        <v>250000.0</v>
      </c>
      <c r="D77" s="238"/>
      <c r="E77" s="248" t="s">
        <v>341</v>
      </c>
      <c r="F77" s="249">
        <v>1368.0</v>
      </c>
      <c r="G77" s="238"/>
      <c r="H77" s="247"/>
      <c r="I77" s="238"/>
      <c r="J77" s="247"/>
      <c r="K77" s="247"/>
      <c r="L77" s="247"/>
      <c r="M77" s="238"/>
      <c r="N77" s="238"/>
      <c r="O77" s="251"/>
      <c r="P77" s="247"/>
      <c r="Q77" s="247"/>
      <c r="R77" s="238"/>
      <c r="S77" s="238"/>
      <c r="T77" s="238"/>
      <c r="U77" s="238"/>
      <c r="V77" s="238"/>
      <c r="W77" s="238"/>
      <c r="X77" s="238"/>
      <c r="Y77" s="238"/>
      <c r="Z77" s="238"/>
    </row>
    <row r="78">
      <c r="A78" s="252">
        <v>25.0</v>
      </c>
      <c r="B78" s="252">
        <v>10000.0</v>
      </c>
      <c r="C78" s="252">
        <v>187500.0</v>
      </c>
      <c r="D78" s="238"/>
      <c r="E78" s="248" t="s">
        <v>342</v>
      </c>
      <c r="F78" s="249">
        <v>1320.0</v>
      </c>
      <c r="G78" s="238"/>
      <c r="H78" s="247"/>
      <c r="I78" s="238"/>
      <c r="J78" s="247"/>
      <c r="K78" s="247"/>
      <c r="L78" s="247"/>
      <c r="M78" s="238"/>
      <c r="N78" s="238"/>
      <c r="O78" s="251"/>
      <c r="P78" s="247"/>
      <c r="Q78" s="247"/>
      <c r="R78" s="238"/>
      <c r="S78" s="238"/>
      <c r="T78" s="238"/>
      <c r="U78" s="238"/>
      <c r="V78" s="238"/>
      <c r="W78" s="238"/>
      <c r="X78" s="238"/>
      <c r="Y78" s="238"/>
      <c r="Z78" s="238"/>
    </row>
    <row r="79">
      <c r="A79" s="252">
        <v>50.0</v>
      </c>
      <c r="B79" s="252">
        <v>8000.0</v>
      </c>
      <c r="C79" s="252">
        <v>150000.0</v>
      </c>
      <c r="D79" s="238"/>
      <c r="E79" s="248" t="s">
        <v>282</v>
      </c>
      <c r="F79" s="249">
        <v>3750.0</v>
      </c>
      <c r="G79" s="238"/>
      <c r="H79" s="247"/>
      <c r="I79" s="238"/>
      <c r="J79" s="247"/>
      <c r="K79" s="247"/>
      <c r="L79" s="247"/>
      <c r="M79" s="238"/>
      <c r="N79" s="238"/>
      <c r="O79" s="251"/>
      <c r="P79" s="247"/>
      <c r="Q79" s="247"/>
      <c r="R79" s="238"/>
      <c r="S79" s="238"/>
      <c r="T79" s="238"/>
      <c r="U79" s="238"/>
      <c r="V79" s="238"/>
      <c r="W79" s="238"/>
      <c r="X79" s="238"/>
      <c r="Y79" s="238"/>
      <c r="Z79" s="238"/>
    </row>
    <row r="80">
      <c r="A80" s="252">
        <v>100.0</v>
      </c>
      <c r="B80" s="252">
        <v>6000.0</v>
      </c>
      <c r="C80" s="252">
        <v>125000.0</v>
      </c>
      <c r="D80" s="238"/>
      <c r="E80" s="248" t="s">
        <v>285</v>
      </c>
      <c r="F80" s="249">
        <v>2436.0</v>
      </c>
      <c r="G80" s="238"/>
      <c r="H80" s="247"/>
      <c r="I80" s="238"/>
      <c r="J80" s="247"/>
      <c r="K80" s="247"/>
      <c r="L80" s="247"/>
      <c r="M80" s="238"/>
      <c r="N80" s="238"/>
      <c r="O80" s="251"/>
      <c r="P80" s="247"/>
      <c r="Q80" s="247"/>
      <c r="R80" s="238"/>
      <c r="S80" s="238"/>
      <c r="T80" s="238"/>
      <c r="U80" s="238"/>
      <c r="V80" s="238"/>
      <c r="W80" s="238"/>
      <c r="X80" s="238"/>
      <c r="Y80" s="238"/>
      <c r="Z80" s="238"/>
    </row>
    <row r="81">
      <c r="A81" s="252">
        <v>250.0</v>
      </c>
      <c r="B81" s="252">
        <v>5000.0</v>
      </c>
      <c r="C81" s="252">
        <v>100000.0</v>
      </c>
      <c r="D81" s="238"/>
      <c r="E81" s="248" t="s">
        <v>288</v>
      </c>
      <c r="F81" s="249">
        <v>1878.0</v>
      </c>
      <c r="G81" s="238"/>
      <c r="H81" s="247"/>
      <c r="I81" s="238"/>
      <c r="J81" s="247"/>
      <c r="K81" s="247"/>
      <c r="L81" s="247"/>
      <c r="M81" s="238"/>
      <c r="N81" s="238"/>
      <c r="O81" s="251"/>
      <c r="P81" s="247"/>
      <c r="Q81" s="247"/>
      <c r="R81" s="238"/>
      <c r="S81" s="238"/>
      <c r="T81" s="238"/>
      <c r="U81" s="238"/>
      <c r="V81" s="238"/>
      <c r="W81" s="238"/>
      <c r="X81" s="238"/>
      <c r="Y81" s="238"/>
      <c r="Z81" s="238"/>
    </row>
    <row r="82">
      <c r="A82" s="252">
        <v>500.0</v>
      </c>
      <c r="B82" s="252">
        <v>4000.0</v>
      </c>
      <c r="C82" s="252">
        <v>87500.0</v>
      </c>
      <c r="D82" s="238"/>
      <c r="E82" s="248" t="s">
        <v>343</v>
      </c>
      <c r="F82" s="249">
        <v>1500.0</v>
      </c>
      <c r="G82" s="238"/>
      <c r="H82" s="247"/>
      <c r="I82" s="238"/>
      <c r="J82" s="247"/>
      <c r="K82" s="247"/>
      <c r="L82" s="247"/>
      <c r="M82" s="238"/>
      <c r="N82" s="238"/>
      <c r="O82" s="251"/>
      <c r="P82" s="247"/>
      <c r="Q82" s="247"/>
      <c r="R82" s="238"/>
      <c r="S82" s="238"/>
      <c r="T82" s="238"/>
      <c r="U82" s="238"/>
      <c r="V82" s="238"/>
      <c r="W82" s="238"/>
      <c r="X82" s="238"/>
      <c r="Y82" s="238"/>
      <c r="Z82" s="238"/>
    </row>
    <row r="83">
      <c r="A83" s="252">
        <v>1000.0</v>
      </c>
      <c r="B83" s="252">
        <v>3000.0</v>
      </c>
      <c r="C83" s="252">
        <v>75000.0</v>
      </c>
      <c r="D83" s="238"/>
      <c r="E83" s="248" t="s">
        <v>344</v>
      </c>
      <c r="F83" s="249">
        <v>1428.0</v>
      </c>
      <c r="G83" s="238"/>
      <c r="H83" s="247"/>
      <c r="I83" s="238"/>
      <c r="J83" s="247"/>
      <c r="K83" s="247"/>
      <c r="L83" s="247"/>
      <c r="M83" s="238"/>
      <c r="N83" s="238"/>
      <c r="O83" s="251"/>
      <c r="P83" s="247"/>
      <c r="Q83" s="247"/>
      <c r="R83" s="238"/>
      <c r="S83" s="238"/>
      <c r="T83" s="238"/>
      <c r="U83" s="238"/>
      <c r="V83" s="238"/>
      <c r="W83" s="238"/>
      <c r="X83" s="238"/>
      <c r="Y83" s="238"/>
      <c r="Z83" s="238"/>
    </row>
    <row r="84">
      <c r="A84" s="252">
        <v>2000.0</v>
      </c>
      <c r="B84" s="252">
        <v>2500.0</v>
      </c>
      <c r="C84" s="252">
        <v>62500.0</v>
      </c>
      <c r="D84" s="238"/>
      <c r="E84" s="248" t="s">
        <v>345</v>
      </c>
      <c r="F84" s="249">
        <v>1350.0</v>
      </c>
      <c r="G84" s="238"/>
      <c r="H84" s="247"/>
      <c r="I84" s="238"/>
      <c r="J84" s="247"/>
      <c r="K84" s="247"/>
      <c r="L84" s="247"/>
      <c r="M84" s="238"/>
      <c r="N84" s="238"/>
      <c r="O84" s="251"/>
      <c r="P84" s="247"/>
      <c r="Q84" s="247"/>
      <c r="R84" s="238"/>
      <c r="S84" s="238"/>
      <c r="T84" s="238"/>
      <c r="U84" s="238"/>
      <c r="V84" s="238"/>
      <c r="W84" s="238"/>
      <c r="X84" s="238"/>
      <c r="Y84" s="238"/>
      <c r="Z84" s="238"/>
    </row>
    <row r="85">
      <c r="A85" s="247"/>
      <c r="B85" s="247"/>
      <c r="C85" s="247"/>
      <c r="D85" s="238"/>
      <c r="E85" s="248" t="s">
        <v>346</v>
      </c>
      <c r="F85" s="249">
        <v>1278.0</v>
      </c>
      <c r="G85" s="238"/>
      <c r="H85" s="247"/>
      <c r="I85" s="238"/>
      <c r="J85" s="247"/>
      <c r="K85" s="247"/>
      <c r="L85" s="247"/>
      <c r="M85" s="238"/>
      <c r="N85" s="238"/>
      <c r="O85" s="251"/>
      <c r="P85" s="247"/>
      <c r="Q85" s="247"/>
      <c r="R85" s="238"/>
      <c r="S85" s="238"/>
      <c r="T85" s="238"/>
      <c r="U85" s="238"/>
      <c r="V85" s="238"/>
      <c r="W85" s="238"/>
      <c r="X85" s="238"/>
      <c r="Y85" s="238"/>
      <c r="Z85" s="238"/>
    </row>
    <row r="86">
      <c r="A86" s="247"/>
      <c r="B86" s="247"/>
      <c r="C86" s="247"/>
      <c r="D86" s="238"/>
      <c r="E86" s="248" t="s">
        <v>347</v>
      </c>
      <c r="F86" s="249">
        <v>1164.0</v>
      </c>
      <c r="G86" s="238"/>
      <c r="H86" s="247"/>
      <c r="I86" s="238"/>
      <c r="J86" s="247"/>
      <c r="K86" s="247"/>
      <c r="L86" s="247"/>
      <c r="M86" s="238"/>
      <c r="N86" s="238"/>
      <c r="O86" s="251"/>
      <c r="P86" s="247"/>
      <c r="Q86" s="247"/>
      <c r="R86" s="238"/>
      <c r="S86" s="238"/>
      <c r="T86" s="238"/>
      <c r="U86" s="238"/>
      <c r="V86" s="238"/>
      <c r="W86" s="238"/>
      <c r="X86" s="238"/>
      <c r="Y86" s="238"/>
      <c r="Z86" s="238"/>
    </row>
    <row r="87">
      <c r="A87" s="247"/>
      <c r="B87" s="247"/>
      <c r="C87" s="247"/>
      <c r="D87" s="238"/>
      <c r="E87" s="248" t="s">
        <v>348</v>
      </c>
      <c r="F87" s="249">
        <v>1086.0</v>
      </c>
      <c r="G87" s="238"/>
      <c r="H87" s="247"/>
      <c r="I87" s="238"/>
      <c r="J87" s="247"/>
      <c r="K87" s="247"/>
      <c r="L87" s="247"/>
      <c r="M87" s="238"/>
      <c r="N87" s="238"/>
      <c r="O87" s="251"/>
      <c r="P87" s="247"/>
      <c r="Q87" s="247"/>
      <c r="R87" s="238"/>
      <c r="S87" s="238"/>
      <c r="T87" s="238"/>
      <c r="U87" s="238"/>
      <c r="V87" s="238"/>
      <c r="W87" s="238"/>
      <c r="X87" s="238"/>
      <c r="Y87" s="238"/>
      <c r="Z87" s="238"/>
    </row>
    <row r="88">
      <c r="A88" s="247"/>
      <c r="B88" s="247"/>
      <c r="C88" s="247"/>
      <c r="D88" s="238"/>
      <c r="E88" s="248" t="s">
        <v>349</v>
      </c>
      <c r="F88" s="249">
        <v>1050.0</v>
      </c>
      <c r="G88" s="238"/>
      <c r="H88" s="247"/>
      <c r="I88" s="238"/>
      <c r="J88" s="247"/>
      <c r="K88" s="247"/>
      <c r="L88" s="247"/>
      <c r="M88" s="238"/>
      <c r="N88" s="238"/>
      <c r="O88" s="251"/>
      <c r="P88" s="247"/>
      <c r="Q88" s="247"/>
      <c r="R88" s="238"/>
      <c r="S88" s="238"/>
      <c r="T88" s="238"/>
      <c r="U88" s="238"/>
      <c r="V88" s="238"/>
      <c r="W88" s="238"/>
      <c r="X88" s="238"/>
      <c r="Y88" s="238"/>
      <c r="Z88" s="238"/>
    </row>
    <row r="89">
      <c r="A89" s="247"/>
      <c r="B89" s="247"/>
      <c r="C89" s="247"/>
      <c r="D89" s="238"/>
      <c r="E89" s="248" t="s">
        <v>350</v>
      </c>
      <c r="F89" s="249">
        <v>1014.0</v>
      </c>
      <c r="G89" s="238"/>
      <c r="H89" s="247"/>
      <c r="I89" s="238"/>
      <c r="J89" s="247"/>
      <c r="K89" s="247"/>
      <c r="L89" s="247"/>
      <c r="M89" s="238"/>
      <c r="N89" s="238"/>
      <c r="O89" s="251"/>
      <c r="P89" s="247"/>
      <c r="Q89" s="247"/>
      <c r="R89" s="238"/>
      <c r="S89" s="238"/>
      <c r="T89" s="238"/>
      <c r="U89" s="238"/>
      <c r="V89" s="238"/>
      <c r="W89" s="238"/>
      <c r="X89" s="238"/>
      <c r="Y89" s="238"/>
      <c r="Z89" s="238"/>
    </row>
    <row r="90">
      <c r="A90" s="247"/>
      <c r="B90" s="247"/>
      <c r="C90" s="247"/>
      <c r="D90" s="238"/>
      <c r="E90" s="248" t="s">
        <v>305</v>
      </c>
      <c r="F90" s="249">
        <v>2880.0</v>
      </c>
      <c r="G90" s="238"/>
      <c r="H90" s="247"/>
      <c r="I90" s="238"/>
      <c r="J90" s="247"/>
      <c r="K90" s="247"/>
      <c r="L90" s="247"/>
      <c r="M90" s="238"/>
      <c r="N90" s="238"/>
      <c r="O90" s="251"/>
      <c r="P90" s="247"/>
      <c r="Q90" s="247"/>
      <c r="R90" s="238"/>
      <c r="S90" s="238"/>
      <c r="T90" s="238"/>
      <c r="U90" s="238"/>
      <c r="V90" s="238"/>
      <c r="W90" s="238"/>
      <c r="X90" s="238"/>
      <c r="Y90" s="238"/>
      <c r="Z90" s="238"/>
    </row>
    <row r="91">
      <c r="A91" s="247"/>
      <c r="B91" s="247"/>
      <c r="C91" s="247"/>
      <c r="D91" s="238"/>
      <c r="E91" s="248" t="s">
        <v>306</v>
      </c>
      <c r="F91" s="249">
        <v>1872.0</v>
      </c>
      <c r="G91" s="238"/>
      <c r="H91" s="247"/>
      <c r="I91" s="238"/>
      <c r="J91" s="247"/>
      <c r="K91" s="247"/>
      <c r="L91" s="247"/>
      <c r="M91" s="238"/>
      <c r="N91" s="238"/>
      <c r="O91" s="251"/>
      <c r="P91" s="247"/>
      <c r="Q91" s="247"/>
      <c r="R91" s="238"/>
      <c r="S91" s="238"/>
      <c r="T91" s="238"/>
      <c r="U91" s="238"/>
      <c r="V91" s="238"/>
      <c r="W91" s="238"/>
      <c r="X91" s="238"/>
      <c r="Y91" s="238"/>
      <c r="Z91" s="238"/>
    </row>
    <row r="92">
      <c r="A92" s="247"/>
      <c r="B92" s="247"/>
      <c r="C92" s="247"/>
      <c r="D92" s="238"/>
      <c r="E92" s="248" t="s">
        <v>307</v>
      </c>
      <c r="F92" s="249">
        <v>1440.0</v>
      </c>
      <c r="G92" s="238"/>
      <c r="H92" s="247"/>
      <c r="I92" s="238"/>
      <c r="J92" s="247"/>
      <c r="K92" s="247"/>
      <c r="L92" s="247"/>
      <c r="M92" s="238"/>
      <c r="N92" s="238"/>
      <c r="O92" s="251"/>
      <c r="P92" s="247"/>
      <c r="Q92" s="247"/>
      <c r="R92" s="238"/>
      <c r="S92" s="238"/>
      <c r="T92" s="238"/>
      <c r="U92" s="238"/>
      <c r="V92" s="238"/>
      <c r="W92" s="238"/>
      <c r="X92" s="238"/>
      <c r="Y92" s="238"/>
      <c r="Z92" s="238"/>
    </row>
    <row r="93">
      <c r="A93" s="247"/>
      <c r="B93" s="247"/>
      <c r="C93" s="247"/>
      <c r="D93" s="238"/>
      <c r="E93" s="248" t="s">
        <v>351</v>
      </c>
      <c r="F93" s="249">
        <v>1152.0</v>
      </c>
      <c r="G93" s="238"/>
      <c r="H93" s="247"/>
      <c r="I93" s="238"/>
      <c r="J93" s="247"/>
      <c r="K93" s="247"/>
      <c r="L93" s="247"/>
      <c r="M93" s="238"/>
      <c r="N93" s="238"/>
      <c r="O93" s="251"/>
      <c r="P93" s="247"/>
      <c r="Q93" s="247"/>
      <c r="R93" s="238"/>
      <c r="S93" s="238"/>
      <c r="T93" s="238"/>
      <c r="U93" s="238"/>
      <c r="V93" s="238"/>
      <c r="W93" s="238"/>
      <c r="X93" s="238"/>
      <c r="Y93" s="238"/>
      <c r="Z93" s="238"/>
    </row>
    <row r="94">
      <c r="A94" s="247"/>
      <c r="B94" s="247"/>
      <c r="C94" s="247"/>
      <c r="D94" s="238"/>
      <c r="E94" s="248" t="s">
        <v>352</v>
      </c>
      <c r="F94" s="249">
        <v>1092.0</v>
      </c>
      <c r="G94" s="238"/>
      <c r="H94" s="247"/>
      <c r="I94" s="238"/>
      <c r="J94" s="247"/>
      <c r="K94" s="247"/>
      <c r="L94" s="247"/>
      <c r="M94" s="238"/>
      <c r="N94" s="238"/>
      <c r="O94" s="251"/>
      <c r="P94" s="247"/>
      <c r="Q94" s="247"/>
      <c r="R94" s="238"/>
      <c r="S94" s="238"/>
      <c r="T94" s="238"/>
      <c r="U94" s="238"/>
      <c r="V94" s="238"/>
      <c r="W94" s="238"/>
      <c r="X94" s="238"/>
      <c r="Y94" s="238"/>
      <c r="Z94" s="238"/>
    </row>
    <row r="95">
      <c r="A95" s="247"/>
      <c r="B95" s="247"/>
      <c r="C95" s="247"/>
      <c r="D95" s="238"/>
      <c r="E95" s="248" t="s">
        <v>353</v>
      </c>
      <c r="F95" s="249">
        <v>1038.0</v>
      </c>
      <c r="G95" s="238"/>
      <c r="H95" s="247"/>
      <c r="I95" s="238"/>
      <c r="J95" s="247"/>
      <c r="K95" s="247"/>
      <c r="L95" s="247"/>
      <c r="M95" s="238"/>
      <c r="N95" s="238"/>
      <c r="O95" s="251"/>
      <c r="P95" s="247"/>
      <c r="Q95" s="247"/>
      <c r="R95" s="238"/>
      <c r="S95" s="238"/>
      <c r="T95" s="238"/>
      <c r="U95" s="238"/>
      <c r="V95" s="238"/>
      <c r="W95" s="238"/>
      <c r="X95" s="238"/>
      <c r="Y95" s="238"/>
      <c r="Z95" s="238"/>
    </row>
    <row r="96">
      <c r="A96" s="247"/>
      <c r="B96" s="247"/>
      <c r="C96" s="247"/>
      <c r="D96" s="238"/>
      <c r="E96" s="248" t="s">
        <v>354</v>
      </c>
      <c r="F96" s="249">
        <v>978.0</v>
      </c>
      <c r="G96" s="238"/>
      <c r="H96" s="247"/>
      <c r="I96" s="238"/>
      <c r="J96" s="247"/>
      <c r="K96" s="247"/>
      <c r="L96" s="247"/>
      <c r="M96" s="238"/>
      <c r="N96" s="238"/>
      <c r="O96" s="251"/>
      <c r="P96" s="247"/>
      <c r="Q96" s="247"/>
      <c r="R96" s="238"/>
      <c r="S96" s="238"/>
      <c r="T96" s="238"/>
      <c r="U96" s="238"/>
      <c r="V96" s="238"/>
      <c r="W96" s="238"/>
      <c r="X96" s="238"/>
      <c r="Y96" s="238"/>
      <c r="Z96" s="238"/>
    </row>
    <row r="97">
      <c r="A97" s="247"/>
      <c r="B97" s="247"/>
      <c r="C97" s="247"/>
      <c r="D97" s="238"/>
      <c r="E97" s="248" t="s">
        <v>355</v>
      </c>
      <c r="F97" s="249">
        <v>894.0</v>
      </c>
      <c r="G97" s="238"/>
      <c r="H97" s="247"/>
      <c r="I97" s="238"/>
      <c r="J97" s="247"/>
      <c r="K97" s="247"/>
      <c r="L97" s="247"/>
      <c r="M97" s="238"/>
      <c r="N97" s="238"/>
      <c r="O97" s="251"/>
      <c r="P97" s="247"/>
      <c r="Q97" s="247"/>
      <c r="R97" s="238"/>
      <c r="S97" s="238"/>
      <c r="T97" s="238"/>
      <c r="U97" s="238"/>
      <c r="V97" s="238"/>
      <c r="W97" s="238"/>
      <c r="X97" s="238"/>
      <c r="Y97" s="238"/>
      <c r="Z97" s="238"/>
    </row>
    <row r="98">
      <c r="A98" s="247"/>
      <c r="B98" s="247"/>
      <c r="C98" s="247"/>
      <c r="D98" s="238"/>
      <c r="E98" s="248" t="s">
        <v>356</v>
      </c>
      <c r="F98" s="249">
        <v>834.0</v>
      </c>
      <c r="G98" s="238"/>
      <c r="H98" s="247"/>
      <c r="I98" s="238"/>
      <c r="J98" s="247"/>
      <c r="K98" s="247"/>
      <c r="L98" s="247"/>
      <c r="M98" s="238"/>
      <c r="N98" s="238"/>
      <c r="O98" s="251"/>
      <c r="P98" s="247"/>
      <c r="Q98" s="247"/>
      <c r="R98" s="238"/>
      <c r="S98" s="238"/>
      <c r="T98" s="238"/>
      <c r="U98" s="238"/>
      <c r="V98" s="238"/>
      <c r="W98" s="238"/>
      <c r="X98" s="238"/>
      <c r="Y98" s="238"/>
      <c r="Z98" s="238"/>
    </row>
    <row r="99">
      <c r="A99" s="247"/>
      <c r="B99" s="247"/>
      <c r="C99" s="247"/>
      <c r="D99" s="238"/>
      <c r="E99" s="248" t="s">
        <v>357</v>
      </c>
      <c r="F99" s="249">
        <v>804.0</v>
      </c>
      <c r="G99" s="238"/>
      <c r="H99" s="247"/>
      <c r="I99" s="238"/>
      <c r="J99" s="247"/>
      <c r="K99" s="247"/>
      <c r="L99" s="247"/>
      <c r="M99" s="238"/>
      <c r="N99" s="238"/>
      <c r="O99" s="251"/>
      <c r="P99" s="247"/>
      <c r="Q99" s="247"/>
      <c r="R99" s="238"/>
      <c r="S99" s="238"/>
      <c r="T99" s="238"/>
      <c r="U99" s="238"/>
      <c r="V99" s="238"/>
      <c r="W99" s="238"/>
      <c r="X99" s="238"/>
      <c r="Y99" s="238"/>
      <c r="Z99" s="238"/>
    </row>
    <row r="100">
      <c r="A100" s="247"/>
      <c r="B100" s="247"/>
      <c r="C100" s="247"/>
      <c r="D100" s="238"/>
      <c r="E100" s="248" t="s">
        <v>358</v>
      </c>
      <c r="F100" s="249">
        <v>780.0</v>
      </c>
      <c r="G100" s="238"/>
      <c r="H100" s="247"/>
      <c r="I100" s="238"/>
      <c r="J100" s="247"/>
      <c r="K100" s="247"/>
      <c r="L100" s="247"/>
      <c r="M100" s="238"/>
      <c r="N100" s="238"/>
      <c r="O100" s="251"/>
      <c r="P100" s="247"/>
      <c r="Q100" s="247"/>
      <c r="R100" s="238"/>
      <c r="S100" s="238"/>
      <c r="T100" s="238"/>
      <c r="U100" s="238"/>
      <c r="V100" s="238"/>
      <c r="W100" s="238"/>
      <c r="X100" s="238"/>
      <c r="Y100" s="238"/>
      <c r="Z100" s="238"/>
    </row>
    <row r="101">
      <c r="A101" s="247"/>
      <c r="B101" s="247"/>
      <c r="C101" s="247"/>
      <c r="D101" s="238"/>
      <c r="E101" s="254"/>
      <c r="F101" s="255"/>
      <c r="G101" s="238"/>
      <c r="H101" s="247"/>
      <c r="I101" s="238"/>
      <c r="J101" s="247"/>
      <c r="K101" s="247"/>
      <c r="L101" s="247"/>
      <c r="M101" s="238"/>
      <c r="N101" s="238"/>
      <c r="O101" s="251"/>
      <c r="P101" s="247"/>
      <c r="Q101" s="247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>
      <c r="A102" s="247"/>
      <c r="B102" s="247"/>
      <c r="C102" s="247"/>
      <c r="D102" s="238"/>
      <c r="E102" s="254"/>
      <c r="F102" s="255"/>
      <c r="G102" s="238"/>
      <c r="H102" s="247"/>
      <c r="I102" s="238"/>
      <c r="J102" s="247"/>
      <c r="K102" s="247"/>
      <c r="L102" s="247"/>
      <c r="M102" s="238"/>
      <c r="N102" s="238"/>
      <c r="O102" s="251"/>
      <c r="P102" s="247"/>
      <c r="Q102" s="247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>
      <c r="A103" s="247"/>
      <c r="B103" s="247"/>
      <c r="C103" s="247"/>
      <c r="D103" s="238"/>
      <c r="E103" s="254"/>
      <c r="F103" s="255"/>
      <c r="G103" s="238"/>
      <c r="H103" s="247"/>
      <c r="I103" s="238"/>
      <c r="J103" s="247"/>
      <c r="K103" s="247"/>
      <c r="L103" s="247"/>
      <c r="M103" s="238"/>
      <c r="N103" s="238"/>
      <c r="O103" s="251"/>
      <c r="P103" s="247"/>
      <c r="Q103" s="247"/>
      <c r="R103" s="238"/>
      <c r="S103" s="238"/>
      <c r="T103" s="238"/>
      <c r="U103" s="238"/>
      <c r="V103" s="238"/>
      <c r="W103" s="238"/>
      <c r="X103" s="238"/>
      <c r="Y103" s="238"/>
      <c r="Z103" s="238"/>
    </row>
    <row r="104">
      <c r="A104" s="247"/>
      <c r="B104" s="247"/>
      <c r="C104" s="247"/>
      <c r="D104" s="238"/>
      <c r="E104" s="254"/>
      <c r="F104" s="255"/>
      <c r="G104" s="238"/>
      <c r="H104" s="247"/>
      <c r="I104" s="238"/>
      <c r="J104" s="247"/>
      <c r="K104" s="247"/>
      <c r="L104" s="247"/>
      <c r="M104" s="238"/>
      <c r="N104" s="238"/>
      <c r="O104" s="251"/>
      <c r="P104" s="247"/>
      <c r="Q104" s="247"/>
      <c r="R104" s="238"/>
      <c r="S104" s="238"/>
      <c r="T104" s="238"/>
      <c r="U104" s="238"/>
      <c r="V104" s="238"/>
      <c r="W104" s="238"/>
      <c r="X104" s="238"/>
      <c r="Y104" s="238"/>
      <c r="Z104" s="238"/>
    </row>
    <row r="105">
      <c r="A105" s="247"/>
      <c r="B105" s="247"/>
      <c r="C105" s="247"/>
      <c r="D105" s="238"/>
      <c r="E105" s="254"/>
      <c r="F105" s="255"/>
      <c r="G105" s="238"/>
      <c r="H105" s="247"/>
      <c r="I105" s="238"/>
      <c r="J105" s="247"/>
      <c r="K105" s="247"/>
      <c r="L105" s="247"/>
      <c r="M105" s="238"/>
      <c r="N105" s="238"/>
      <c r="O105" s="251"/>
      <c r="P105" s="247"/>
      <c r="Q105" s="247"/>
      <c r="R105" s="238"/>
      <c r="S105" s="238"/>
      <c r="T105" s="238"/>
      <c r="U105" s="238"/>
      <c r="V105" s="238"/>
      <c r="W105" s="238"/>
      <c r="X105" s="238"/>
      <c r="Y105" s="238"/>
      <c r="Z105" s="238"/>
    </row>
    <row r="106">
      <c r="A106" s="247"/>
      <c r="B106" s="247"/>
      <c r="C106" s="247"/>
      <c r="D106" s="238"/>
      <c r="E106" s="254"/>
      <c r="F106" s="255"/>
      <c r="G106" s="238"/>
      <c r="H106" s="247"/>
      <c r="I106" s="238"/>
      <c r="J106" s="247"/>
      <c r="K106" s="247"/>
      <c r="L106" s="247"/>
      <c r="M106" s="238"/>
      <c r="N106" s="238"/>
      <c r="O106" s="251"/>
      <c r="P106" s="247"/>
      <c r="Q106" s="247"/>
      <c r="R106" s="238"/>
      <c r="S106" s="238"/>
      <c r="T106" s="238"/>
      <c r="U106" s="238"/>
      <c r="V106" s="238"/>
      <c r="W106" s="238"/>
      <c r="X106" s="238"/>
      <c r="Y106" s="238"/>
      <c r="Z106" s="238"/>
    </row>
    <row r="107">
      <c r="A107" s="247"/>
      <c r="B107" s="247"/>
      <c r="C107" s="247"/>
      <c r="D107" s="238"/>
      <c r="E107" s="254"/>
      <c r="F107" s="255"/>
      <c r="G107" s="238"/>
      <c r="H107" s="247"/>
      <c r="I107" s="238"/>
      <c r="J107" s="247"/>
      <c r="K107" s="247"/>
      <c r="L107" s="247"/>
      <c r="M107" s="238"/>
      <c r="N107" s="238"/>
      <c r="O107" s="251"/>
      <c r="P107" s="247"/>
      <c r="Q107" s="247"/>
      <c r="R107" s="238"/>
      <c r="S107" s="238"/>
      <c r="T107" s="238"/>
      <c r="U107" s="238"/>
      <c r="V107" s="238"/>
      <c r="W107" s="238"/>
      <c r="X107" s="238"/>
      <c r="Y107" s="238"/>
      <c r="Z107" s="238"/>
    </row>
    <row r="108">
      <c r="A108" s="247"/>
      <c r="B108" s="247"/>
      <c r="C108" s="247"/>
      <c r="D108" s="238"/>
      <c r="E108" s="254"/>
      <c r="F108" s="255"/>
      <c r="G108" s="238"/>
      <c r="H108" s="247"/>
      <c r="I108" s="238"/>
      <c r="J108" s="247"/>
      <c r="K108" s="247"/>
      <c r="L108" s="247"/>
      <c r="M108" s="238"/>
      <c r="N108" s="238"/>
      <c r="O108" s="251"/>
      <c r="P108" s="247"/>
      <c r="Q108" s="247"/>
      <c r="R108" s="238"/>
      <c r="S108" s="238"/>
      <c r="T108" s="238"/>
      <c r="U108" s="238"/>
      <c r="V108" s="238"/>
      <c r="W108" s="238"/>
      <c r="X108" s="238"/>
      <c r="Y108" s="238"/>
      <c r="Z108" s="238"/>
    </row>
    <row r="109">
      <c r="A109" s="247"/>
      <c r="B109" s="247"/>
      <c r="C109" s="247"/>
      <c r="D109" s="238"/>
      <c r="E109" s="254"/>
      <c r="F109" s="255"/>
      <c r="G109" s="238"/>
      <c r="H109" s="247"/>
      <c r="I109" s="238"/>
      <c r="J109" s="247"/>
      <c r="K109" s="247"/>
      <c r="L109" s="247"/>
      <c r="M109" s="238"/>
      <c r="N109" s="238"/>
      <c r="O109" s="251"/>
      <c r="P109" s="247"/>
      <c r="Q109" s="247"/>
      <c r="R109" s="238"/>
      <c r="S109" s="238"/>
      <c r="T109" s="238"/>
      <c r="U109" s="238"/>
      <c r="V109" s="238"/>
      <c r="W109" s="238"/>
      <c r="X109" s="238"/>
      <c r="Y109" s="238"/>
      <c r="Z109" s="238"/>
    </row>
    <row r="110">
      <c r="A110" s="247"/>
      <c r="B110" s="247"/>
      <c r="C110" s="247"/>
      <c r="D110" s="238"/>
      <c r="E110" s="254"/>
      <c r="F110" s="255"/>
      <c r="G110" s="238"/>
      <c r="H110" s="247"/>
      <c r="I110" s="238"/>
      <c r="J110" s="247"/>
      <c r="K110" s="247"/>
      <c r="L110" s="247"/>
      <c r="M110" s="238"/>
      <c r="N110" s="238"/>
      <c r="O110" s="251"/>
      <c r="P110" s="247"/>
      <c r="Q110" s="247"/>
      <c r="R110" s="238"/>
      <c r="S110" s="238"/>
      <c r="T110" s="238"/>
      <c r="U110" s="238"/>
      <c r="V110" s="238"/>
      <c r="W110" s="238"/>
      <c r="X110" s="238"/>
      <c r="Y110" s="238"/>
      <c r="Z110" s="238"/>
    </row>
    <row r="111">
      <c r="A111" s="247"/>
      <c r="B111" s="247"/>
      <c r="C111" s="247"/>
      <c r="D111" s="238"/>
      <c r="E111" s="254"/>
      <c r="F111" s="255"/>
      <c r="G111" s="238"/>
      <c r="H111" s="247"/>
      <c r="I111" s="238"/>
      <c r="J111" s="247"/>
      <c r="K111" s="247"/>
      <c r="L111" s="247"/>
      <c r="M111" s="238"/>
      <c r="N111" s="238"/>
      <c r="O111" s="251"/>
      <c r="P111" s="247"/>
      <c r="Q111" s="247"/>
      <c r="R111" s="238"/>
      <c r="S111" s="238"/>
      <c r="T111" s="238"/>
      <c r="U111" s="238"/>
      <c r="V111" s="238"/>
      <c r="W111" s="238"/>
      <c r="X111" s="238"/>
      <c r="Y111" s="238"/>
      <c r="Z111" s="238"/>
    </row>
    <row r="112">
      <c r="A112" s="247"/>
      <c r="B112" s="247"/>
      <c r="C112" s="247"/>
      <c r="D112" s="238"/>
      <c r="E112" s="254"/>
      <c r="F112" s="255"/>
      <c r="G112" s="238"/>
      <c r="H112" s="247"/>
      <c r="I112" s="238"/>
      <c r="J112" s="247"/>
      <c r="K112" s="247"/>
      <c r="L112" s="247"/>
      <c r="M112" s="238"/>
      <c r="N112" s="238"/>
      <c r="O112" s="251"/>
      <c r="P112" s="247"/>
      <c r="Q112" s="247"/>
      <c r="R112" s="238"/>
      <c r="S112" s="238"/>
      <c r="T112" s="238"/>
      <c r="U112" s="238"/>
      <c r="V112" s="238"/>
      <c r="W112" s="238"/>
      <c r="X112" s="238"/>
      <c r="Y112" s="238"/>
      <c r="Z112" s="238"/>
    </row>
    <row r="113">
      <c r="A113" s="247"/>
      <c r="B113" s="247"/>
      <c r="C113" s="247"/>
      <c r="D113" s="238"/>
      <c r="E113" s="254"/>
      <c r="F113" s="255"/>
      <c r="G113" s="238"/>
      <c r="H113" s="247"/>
      <c r="I113" s="238"/>
      <c r="J113" s="247"/>
      <c r="K113" s="247"/>
      <c r="L113" s="247"/>
      <c r="M113" s="238"/>
      <c r="N113" s="238"/>
      <c r="O113" s="251"/>
      <c r="P113" s="247"/>
      <c r="Q113" s="247"/>
      <c r="R113" s="238"/>
      <c r="S113" s="238"/>
      <c r="T113" s="238"/>
      <c r="U113" s="238"/>
      <c r="V113" s="238"/>
      <c r="W113" s="238"/>
      <c r="X113" s="238"/>
      <c r="Y113" s="238"/>
      <c r="Z113" s="238"/>
    </row>
    <row r="114">
      <c r="A114" s="247"/>
      <c r="B114" s="247"/>
      <c r="C114" s="247"/>
      <c r="D114" s="238"/>
      <c r="E114" s="254"/>
      <c r="F114" s="255"/>
      <c r="G114" s="238"/>
      <c r="H114" s="247"/>
      <c r="I114" s="238"/>
      <c r="J114" s="247"/>
      <c r="K114" s="247"/>
      <c r="L114" s="247"/>
      <c r="M114" s="238"/>
      <c r="N114" s="238"/>
      <c r="O114" s="251"/>
      <c r="P114" s="247"/>
      <c r="Q114" s="247"/>
      <c r="R114" s="238"/>
      <c r="S114" s="238"/>
      <c r="T114" s="238"/>
      <c r="U114" s="238"/>
      <c r="V114" s="238"/>
      <c r="W114" s="238"/>
      <c r="X114" s="238"/>
      <c r="Y114" s="238"/>
      <c r="Z114" s="238"/>
    </row>
    <row r="115">
      <c r="A115" s="247"/>
      <c r="B115" s="247"/>
      <c r="C115" s="247"/>
      <c r="D115" s="238"/>
      <c r="E115" s="254"/>
      <c r="F115" s="255"/>
      <c r="G115" s="238"/>
      <c r="H115" s="247"/>
      <c r="I115" s="238"/>
      <c r="J115" s="247"/>
      <c r="K115" s="247"/>
      <c r="L115" s="247"/>
      <c r="M115" s="238"/>
      <c r="N115" s="238"/>
      <c r="O115" s="251"/>
      <c r="P115" s="247"/>
      <c r="Q115" s="247"/>
      <c r="R115" s="238"/>
      <c r="S115" s="238"/>
      <c r="T115" s="238"/>
      <c r="U115" s="238"/>
      <c r="V115" s="238"/>
      <c r="W115" s="238"/>
      <c r="X115" s="238"/>
      <c r="Y115" s="238"/>
      <c r="Z115" s="238"/>
    </row>
    <row r="116">
      <c r="A116" s="247"/>
      <c r="B116" s="247"/>
      <c r="C116" s="247"/>
      <c r="D116" s="238"/>
      <c r="E116" s="254"/>
      <c r="F116" s="255"/>
      <c r="G116" s="238"/>
      <c r="H116" s="247"/>
      <c r="I116" s="238"/>
      <c r="J116" s="247"/>
      <c r="K116" s="247"/>
      <c r="L116" s="247"/>
      <c r="M116" s="238"/>
      <c r="N116" s="238"/>
      <c r="O116" s="251"/>
      <c r="P116" s="247"/>
      <c r="Q116" s="247"/>
      <c r="R116" s="238"/>
      <c r="S116" s="238"/>
      <c r="T116" s="238"/>
      <c r="U116" s="238"/>
      <c r="V116" s="238"/>
      <c r="W116" s="238"/>
      <c r="X116" s="238"/>
      <c r="Y116" s="238"/>
      <c r="Z116" s="238"/>
    </row>
    <row r="117">
      <c r="A117" s="247"/>
      <c r="B117" s="247"/>
      <c r="C117" s="247"/>
      <c r="D117" s="238"/>
      <c r="E117" s="254"/>
      <c r="F117" s="255"/>
      <c r="G117" s="238"/>
      <c r="H117" s="247"/>
      <c r="I117" s="238"/>
      <c r="J117" s="247"/>
      <c r="K117" s="247"/>
      <c r="L117" s="247"/>
      <c r="M117" s="238"/>
      <c r="N117" s="238"/>
      <c r="O117" s="251"/>
      <c r="P117" s="247"/>
      <c r="Q117" s="247"/>
      <c r="R117" s="238"/>
      <c r="S117" s="238"/>
      <c r="T117" s="238"/>
      <c r="U117" s="238"/>
      <c r="V117" s="238"/>
      <c r="W117" s="238"/>
      <c r="X117" s="238"/>
      <c r="Y117" s="238"/>
      <c r="Z117" s="238"/>
    </row>
    <row r="118">
      <c r="A118" s="247"/>
      <c r="B118" s="247"/>
      <c r="C118" s="247"/>
      <c r="D118" s="238"/>
      <c r="E118" s="254"/>
      <c r="F118" s="255"/>
      <c r="G118" s="238"/>
      <c r="H118" s="247"/>
      <c r="I118" s="238"/>
      <c r="J118" s="247"/>
      <c r="K118" s="247"/>
      <c r="L118" s="247"/>
      <c r="M118" s="238"/>
      <c r="N118" s="238"/>
      <c r="O118" s="251"/>
      <c r="P118" s="247"/>
      <c r="Q118" s="247"/>
      <c r="R118" s="238"/>
      <c r="S118" s="238"/>
      <c r="T118" s="238"/>
      <c r="U118" s="238"/>
      <c r="V118" s="238"/>
      <c r="W118" s="238"/>
      <c r="X118" s="238"/>
      <c r="Y118" s="238"/>
      <c r="Z118" s="238"/>
    </row>
    <row r="119">
      <c r="A119" s="247"/>
      <c r="B119" s="247"/>
      <c r="C119" s="247"/>
      <c r="D119" s="238"/>
      <c r="E119" s="254"/>
      <c r="F119" s="255"/>
      <c r="G119" s="238"/>
      <c r="H119" s="247"/>
      <c r="I119" s="238"/>
      <c r="J119" s="247"/>
      <c r="K119" s="247"/>
      <c r="L119" s="247"/>
      <c r="M119" s="238"/>
      <c r="N119" s="238"/>
      <c r="O119" s="251"/>
      <c r="P119" s="247"/>
      <c r="Q119" s="247"/>
      <c r="R119" s="238"/>
      <c r="S119" s="238"/>
      <c r="T119" s="238"/>
      <c r="U119" s="238"/>
      <c r="V119" s="238"/>
      <c r="W119" s="238"/>
      <c r="X119" s="238"/>
      <c r="Y119" s="238"/>
      <c r="Z119" s="238"/>
    </row>
    <row r="120">
      <c r="A120" s="247"/>
      <c r="B120" s="247"/>
      <c r="C120" s="247"/>
      <c r="D120" s="238"/>
      <c r="E120" s="254"/>
      <c r="F120" s="255"/>
      <c r="G120" s="238"/>
      <c r="H120" s="247"/>
      <c r="I120" s="238"/>
      <c r="J120" s="247"/>
      <c r="K120" s="247"/>
      <c r="L120" s="247"/>
      <c r="M120" s="238"/>
      <c r="N120" s="238"/>
      <c r="O120" s="251"/>
      <c r="P120" s="247"/>
      <c r="Q120" s="247"/>
      <c r="R120" s="238"/>
      <c r="S120" s="238"/>
      <c r="T120" s="238"/>
      <c r="U120" s="238"/>
      <c r="V120" s="238"/>
      <c r="W120" s="238"/>
      <c r="X120" s="238"/>
      <c r="Y120" s="238"/>
      <c r="Z120" s="238"/>
    </row>
    <row r="121">
      <c r="A121" s="247"/>
      <c r="B121" s="247"/>
      <c r="C121" s="247"/>
      <c r="D121" s="238"/>
      <c r="E121" s="254"/>
      <c r="F121" s="255"/>
      <c r="G121" s="238"/>
      <c r="H121" s="247"/>
      <c r="I121" s="238"/>
      <c r="J121" s="247"/>
      <c r="K121" s="247"/>
      <c r="L121" s="247"/>
      <c r="M121" s="238"/>
      <c r="N121" s="238"/>
      <c r="O121" s="251"/>
      <c r="P121" s="247"/>
      <c r="Q121" s="247"/>
      <c r="R121" s="238"/>
      <c r="S121" s="238"/>
      <c r="T121" s="238"/>
      <c r="U121" s="238"/>
      <c r="V121" s="238"/>
      <c r="W121" s="238"/>
      <c r="X121" s="238"/>
      <c r="Y121" s="238"/>
      <c r="Z121" s="238"/>
    </row>
    <row r="122">
      <c r="A122" s="247"/>
      <c r="B122" s="247"/>
      <c r="C122" s="247"/>
      <c r="D122" s="238"/>
      <c r="E122" s="254"/>
      <c r="F122" s="255"/>
      <c r="G122" s="238"/>
      <c r="H122" s="247"/>
      <c r="I122" s="238"/>
      <c r="J122" s="247"/>
      <c r="K122" s="247"/>
      <c r="L122" s="247"/>
      <c r="M122" s="238"/>
      <c r="N122" s="238"/>
      <c r="O122" s="251"/>
      <c r="P122" s="247"/>
      <c r="Q122" s="247"/>
      <c r="R122" s="238"/>
      <c r="S122" s="238"/>
      <c r="T122" s="238"/>
      <c r="U122" s="238"/>
      <c r="V122" s="238"/>
      <c r="W122" s="238"/>
      <c r="X122" s="238"/>
      <c r="Y122" s="238"/>
      <c r="Z122" s="238"/>
    </row>
    <row r="123">
      <c r="A123" s="247"/>
      <c r="B123" s="247"/>
      <c r="C123" s="247"/>
      <c r="D123" s="238"/>
      <c r="E123" s="254"/>
      <c r="F123" s="255"/>
      <c r="G123" s="238"/>
      <c r="H123" s="247"/>
      <c r="I123" s="238"/>
      <c r="J123" s="247"/>
      <c r="K123" s="247"/>
      <c r="L123" s="247"/>
      <c r="M123" s="238"/>
      <c r="N123" s="238"/>
      <c r="O123" s="251"/>
      <c r="P123" s="247"/>
      <c r="Q123" s="247"/>
      <c r="R123" s="238"/>
      <c r="S123" s="238"/>
      <c r="T123" s="238"/>
      <c r="U123" s="238"/>
      <c r="V123" s="238"/>
      <c r="W123" s="238"/>
      <c r="X123" s="238"/>
      <c r="Y123" s="238"/>
      <c r="Z123" s="238"/>
    </row>
    <row r="124">
      <c r="A124" s="247"/>
      <c r="B124" s="247"/>
      <c r="C124" s="247"/>
      <c r="D124" s="238"/>
      <c r="E124" s="254"/>
      <c r="F124" s="255"/>
      <c r="G124" s="238"/>
      <c r="H124" s="247"/>
      <c r="I124" s="238"/>
      <c r="J124" s="247"/>
      <c r="K124" s="247"/>
      <c r="L124" s="247"/>
      <c r="M124" s="238"/>
      <c r="N124" s="238"/>
      <c r="O124" s="251"/>
      <c r="P124" s="247"/>
      <c r="Q124" s="247"/>
      <c r="R124" s="238"/>
      <c r="S124" s="238"/>
      <c r="T124" s="238"/>
      <c r="U124" s="238"/>
      <c r="V124" s="238"/>
      <c r="W124" s="238"/>
      <c r="X124" s="238"/>
      <c r="Y124" s="238"/>
      <c r="Z124" s="238"/>
    </row>
    <row r="125">
      <c r="A125" s="247"/>
      <c r="B125" s="247"/>
      <c r="C125" s="247"/>
      <c r="D125" s="238"/>
      <c r="E125" s="254"/>
      <c r="F125" s="255"/>
      <c r="G125" s="238"/>
      <c r="H125" s="247"/>
      <c r="I125" s="238"/>
      <c r="J125" s="247"/>
      <c r="K125" s="247"/>
      <c r="L125" s="247"/>
      <c r="M125" s="238"/>
      <c r="N125" s="238"/>
      <c r="O125" s="251"/>
      <c r="P125" s="247"/>
      <c r="Q125" s="247"/>
      <c r="R125" s="238"/>
      <c r="S125" s="238"/>
      <c r="T125" s="238"/>
      <c r="U125" s="238"/>
      <c r="V125" s="238"/>
      <c r="W125" s="238"/>
      <c r="X125" s="238"/>
      <c r="Y125" s="238"/>
      <c r="Z125" s="238"/>
    </row>
    <row r="126">
      <c r="A126" s="247"/>
      <c r="B126" s="247"/>
      <c r="C126" s="247"/>
      <c r="D126" s="238"/>
      <c r="E126" s="254"/>
      <c r="F126" s="255"/>
      <c r="G126" s="238"/>
      <c r="H126" s="247"/>
      <c r="I126" s="238"/>
      <c r="J126" s="247"/>
      <c r="K126" s="247"/>
      <c r="L126" s="247"/>
      <c r="M126" s="238"/>
      <c r="N126" s="238"/>
      <c r="O126" s="251"/>
      <c r="P126" s="247"/>
      <c r="Q126" s="247"/>
      <c r="R126" s="238"/>
      <c r="S126" s="238"/>
      <c r="T126" s="238"/>
      <c r="U126" s="238"/>
      <c r="V126" s="238"/>
      <c r="W126" s="238"/>
      <c r="X126" s="238"/>
      <c r="Y126" s="238"/>
      <c r="Z126" s="238"/>
    </row>
    <row r="127">
      <c r="A127" s="247"/>
      <c r="B127" s="247"/>
      <c r="C127" s="247"/>
      <c r="D127" s="238"/>
      <c r="E127" s="254"/>
      <c r="F127" s="255"/>
      <c r="G127" s="238"/>
      <c r="H127" s="247"/>
      <c r="I127" s="238"/>
      <c r="J127" s="247"/>
      <c r="K127" s="247"/>
      <c r="L127" s="247"/>
      <c r="M127" s="238"/>
      <c r="N127" s="238"/>
      <c r="O127" s="251"/>
      <c r="P127" s="247"/>
      <c r="Q127" s="247"/>
      <c r="R127" s="238"/>
      <c r="S127" s="238"/>
      <c r="T127" s="238"/>
      <c r="U127" s="238"/>
      <c r="V127" s="238"/>
      <c r="W127" s="238"/>
      <c r="X127" s="238"/>
      <c r="Y127" s="238"/>
      <c r="Z127" s="238"/>
    </row>
    <row r="128">
      <c r="A128" s="247"/>
      <c r="B128" s="247"/>
      <c r="C128" s="247"/>
      <c r="D128" s="238"/>
      <c r="E128" s="254"/>
      <c r="F128" s="255"/>
      <c r="G128" s="238"/>
      <c r="H128" s="247"/>
      <c r="I128" s="238"/>
      <c r="J128" s="247"/>
      <c r="K128" s="247"/>
      <c r="L128" s="247"/>
      <c r="M128" s="238"/>
      <c r="N128" s="238"/>
      <c r="O128" s="251"/>
      <c r="P128" s="247"/>
      <c r="Q128" s="247"/>
      <c r="R128" s="238"/>
      <c r="S128" s="238"/>
      <c r="T128" s="238"/>
      <c r="U128" s="238"/>
      <c r="V128" s="238"/>
      <c r="W128" s="238"/>
      <c r="X128" s="238"/>
      <c r="Y128" s="238"/>
      <c r="Z128" s="238"/>
    </row>
    <row r="129">
      <c r="A129" s="247"/>
      <c r="B129" s="247"/>
      <c r="C129" s="247"/>
      <c r="D129" s="238"/>
      <c r="E129" s="254"/>
      <c r="F129" s="255"/>
      <c r="G129" s="238"/>
      <c r="H129" s="247"/>
      <c r="I129" s="238"/>
      <c r="J129" s="247"/>
      <c r="K129" s="247"/>
      <c r="L129" s="247"/>
      <c r="M129" s="238"/>
      <c r="N129" s="238"/>
      <c r="O129" s="251"/>
      <c r="P129" s="247"/>
      <c r="Q129" s="247"/>
      <c r="R129" s="238"/>
      <c r="S129" s="238"/>
      <c r="T129" s="238"/>
      <c r="U129" s="238"/>
      <c r="V129" s="238"/>
      <c r="W129" s="238"/>
      <c r="X129" s="238"/>
      <c r="Y129" s="238"/>
      <c r="Z129" s="238"/>
    </row>
    <row r="130">
      <c r="A130" s="247"/>
      <c r="B130" s="247"/>
      <c r="C130" s="247"/>
      <c r="D130" s="238"/>
      <c r="E130" s="254"/>
      <c r="F130" s="255"/>
      <c r="G130" s="238"/>
      <c r="H130" s="247"/>
      <c r="I130" s="238"/>
      <c r="J130" s="247"/>
      <c r="K130" s="247"/>
      <c r="L130" s="247"/>
      <c r="M130" s="238"/>
      <c r="N130" s="238"/>
      <c r="O130" s="251"/>
      <c r="P130" s="247"/>
      <c r="Q130" s="247"/>
      <c r="R130" s="238"/>
      <c r="S130" s="238"/>
      <c r="T130" s="238"/>
      <c r="U130" s="238"/>
      <c r="V130" s="238"/>
      <c r="W130" s="238"/>
      <c r="X130" s="238"/>
      <c r="Y130" s="238"/>
      <c r="Z130" s="238"/>
    </row>
    <row r="131">
      <c r="A131" s="247"/>
      <c r="B131" s="247"/>
      <c r="C131" s="247"/>
      <c r="D131" s="238"/>
      <c r="E131" s="254"/>
      <c r="F131" s="255"/>
      <c r="G131" s="238"/>
      <c r="H131" s="247"/>
      <c r="I131" s="238"/>
      <c r="J131" s="247"/>
      <c r="K131" s="247"/>
      <c r="L131" s="247"/>
      <c r="M131" s="238"/>
      <c r="N131" s="238"/>
      <c r="O131" s="251"/>
      <c r="P131" s="247"/>
      <c r="Q131" s="247"/>
      <c r="R131" s="238"/>
      <c r="S131" s="238"/>
      <c r="T131" s="238"/>
      <c r="U131" s="238"/>
      <c r="V131" s="238"/>
      <c r="W131" s="238"/>
      <c r="X131" s="238"/>
      <c r="Y131" s="238"/>
      <c r="Z131" s="238"/>
    </row>
    <row r="132">
      <c r="A132" s="247"/>
      <c r="B132" s="247"/>
      <c r="C132" s="247"/>
      <c r="D132" s="238"/>
      <c r="E132" s="254"/>
      <c r="F132" s="255"/>
      <c r="G132" s="238"/>
      <c r="H132" s="247"/>
      <c r="I132" s="238"/>
      <c r="J132" s="247"/>
      <c r="K132" s="247"/>
      <c r="L132" s="247"/>
      <c r="M132" s="238"/>
      <c r="N132" s="238"/>
      <c r="O132" s="251"/>
      <c r="P132" s="247"/>
      <c r="Q132" s="247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>
      <c r="A133" s="247"/>
      <c r="B133" s="247"/>
      <c r="C133" s="247"/>
      <c r="D133" s="238"/>
      <c r="E133" s="254"/>
      <c r="F133" s="255"/>
      <c r="G133" s="238"/>
      <c r="H133" s="247"/>
      <c r="I133" s="238"/>
      <c r="J133" s="247"/>
      <c r="K133" s="247"/>
      <c r="L133" s="247"/>
      <c r="M133" s="238"/>
      <c r="N133" s="238"/>
      <c r="O133" s="251"/>
      <c r="P133" s="247"/>
      <c r="Q133" s="247"/>
      <c r="R133" s="238"/>
      <c r="S133" s="238"/>
      <c r="T133" s="238"/>
      <c r="U133" s="238"/>
      <c r="V133" s="238"/>
      <c r="W133" s="238"/>
      <c r="X133" s="238"/>
      <c r="Y133" s="238"/>
      <c r="Z133" s="238"/>
    </row>
    <row r="134">
      <c r="A134" s="247"/>
      <c r="B134" s="247"/>
      <c r="C134" s="247"/>
      <c r="D134" s="238"/>
      <c r="E134" s="254"/>
      <c r="F134" s="255"/>
      <c r="G134" s="238"/>
      <c r="H134" s="247"/>
      <c r="I134" s="238"/>
      <c r="J134" s="247"/>
      <c r="K134" s="247"/>
      <c r="L134" s="247"/>
      <c r="M134" s="238"/>
      <c r="N134" s="238"/>
      <c r="O134" s="251"/>
      <c r="P134" s="247"/>
      <c r="Q134" s="247"/>
      <c r="R134" s="238"/>
      <c r="S134" s="238"/>
      <c r="T134" s="238"/>
      <c r="U134" s="238"/>
      <c r="V134" s="238"/>
      <c r="W134" s="238"/>
      <c r="X134" s="238"/>
      <c r="Y134" s="238"/>
      <c r="Z134" s="238"/>
    </row>
    <row r="135">
      <c r="A135" s="247"/>
      <c r="B135" s="247"/>
      <c r="C135" s="247"/>
      <c r="D135" s="238"/>
      <c r="E135" s="254"/>
      <c r="F135" s="255"/>
      <c r="G135" s="238"/>
      <c r="H135" s="247"/>
      <c r="I135" s="238"/>
      <c r="J135" s="247"/>
      <c r="K135" s="247"/>
      <c r="L135" s="247"/>
      <c r="M135" s="238"/>
      <c r="N135" s="238"/>
      <c r="O135" s="251"/>
      <c r="P135" s="247"/>
      <c r="Q135" s="247"/>
      <c r="R135" s="238"/>
      <c r="S135" s="238"/>
      <c r="T135" s="238"/>
      <c r="U135" s="238"/>
      <c r="V135" s="238"/>
      <c r="W135" s="238"/>
      <c r="X135" s="238"/>
      <c r="Y135" s="238"/>
      <c r="Z135" s="238"/>
    </row>
    <row r="136">
      <c r="A136" s="247"/>
      <c r="B136" s="247"/>
      <c r="C136" s="247"/>
      <c r="D136" s="238"/>
      <c r="E136" s="254"/>
      <c r="F136" s="255"/>
      <c r="G136" s="238"/>
      <c r="H136" s="247"/>
      <c r="I136" s="238"/>
      <c r="J136" s="247"/>
      <c r="K136" s="247"/>
      <c r="L136" s="247"/>
      <c r="M136" s="238"/>
      <c r="N136" s="238"/>
      <c r="O136" s="251"/>
      <c r="P136" s="247"/>
      <c r="Q136" s="247"/>
      <c r="R136" s="238"/>
      <c r="S136" s="238"/>
      <c r="T136" s="238"/>
      <c r="U136" s="238"/>
      <c r="V136" s="238"/>
      <c r="W136" s="238"/>
      <c r="X136" s="238"/>
      <c r="Y136" s="238"/>
      <c r="Z136" s="238"/>
    </row>
    <row r="137">
      <c r="A137" s="247"/>
      <c r="B137" s="247"/>
      <c r="C137" s="247"/>
      <c r="D137" s="238"/>
      <c r="E137" s="254"/>
      <c r="F137" s="255"/>
      <c r="G137" s="238"/>
      <c r="H137" s="247"/>
      <c r="I137" s="238"/>
      <c r="J137" s="247"/>
      <c r="K137" s="247"/>
      <c r="L137" s="247"/>
      <c r="M137" s="238"/>
      <c r="N137" s="238"/>
      <c r="O137" s="251"/>
      <c r="P137" s="247"/>
      <c r="Q137" s="247"/>
      <c r="R137" s="238"/>
      <c r="S137" s="238"/>
      <c r="T137" s="238"/>
      <c r="U137" s="238"/>
      <c r="V137" s="238"/>
      <c r="W137" s="238"/>
      <c r="X137" s="238"/>
      <c r="Y137" s="238"/>
      <c r="Z137" s="238"/>
    </row>
    <row r="138">
      <c r="A138" s="247"/>
      <c r="B138" s="247"/>
      <c r="C138" s="247"/>
      <c r="D138" s="238"/>
      <c r="E138" s="254"/>
      <c r="F138" s="255"/>
      <c r="G138" s="238"/>
      <c r="H138" s="247"/>
      <c r="I138" s="238"/>
      <c r="J138" s="247"/>
      <c r="K138" s="247"/>
      <c r="L138" s="247"/>
      <c r="M138" s="238"/>
      <c r="N138" s="238"/>
      <c r="O138" s="251"/>
      <c r="P138" s="247"/>
      <c r="Q138" s="247"/>
      <c r="R138" s="238"/>
      <c r="S138" s="238"/>
      <c r="T138" s="238"/>
      <c r="U138" s="238"/>
      <c r="V138" s="238"/>
      <c r="W138" s="238"/>
      <c r="X138" s="238"/>
      <c r="Y138" s="238"/>
      <c r="Z138" s="238"/>
    </row>
    <row r="139">
      <c r="A139" s="247"/>
      <c r="B139" s="247"/>
      <c r="C139" s="247"/>
      <c r="D139" s="238"/>
      <c r="E139" s="254"/>
      <c r="F139" s="255"/>
      <c r="G139" s="238"/>
      <c r="H139" s="247"/>
      <c r="I139" s="238"/>
      <c r="J139" s="247"/>
      <c r="K139" s="247"/>
      <c r="L139" s="247"/>
      <c r="M139" s="238"/>
      <c r="N139" s="238"/>
      <c r="O139" s="251"/>
      <c r="P139" s="247"/>
      <c r="Q139" s="247"/>
      <c r="R139" s="238"/>
      <c r="S139" s="238"/>
      <c r="T139" s="238"/>
      <c r="U139" s="238"/>
      <c r="V139" s="238"/>
      <c r="W139" s="238"/>
      <c r="X139" s="238"/>
      <c r="Y139" s="238"/>
      <c r="Z139" s="238"/>
    </row>
    <row r="140">
      <c r="A140" s="247"/>
      <c r="B140" s="247"/>
      <c r="C140" s="247"/>
      <c r="D140" s="238"/>
      <c r="E140" s="254"/>
      <c r="F140" s="255"/>
      <c r="G140" s="238"/>
      <c r="H140" s="247"/>
      <c r="I140" s="238"/>
      <c r="J140" s="247"/>
      <c r="K140" s="247"/>
      <c r="L140" s="247"/>
      <c r="M140" s="238"/>
      <c r="N140" s="238"/>
      <c r="O140" s="251"/>
      <c r="P140" s="247"/>
      <c r="Q140" s="247"/>
      <c r="R140" s="238"/>
      <c r="S140" s="238"/>
      <c r="T140" s="238"/>
      <c r="U140" s="238"/>
      <c r="V140" s="238"/>
      <c r="W140" s="238"/>
      <c r="X140" s="238"/>
      <c r="Y140" s="238"/>
      <c r="Z140" s="238"/>
    </row>
    <row r="141">
      <c r="A141" s="247"/>
      <c r="B141" s="247"/>
      <c r="C141" s="247"/>
      <c r="D141" s="238"/>
      <c r="E141" s="254"/>
      <c r="F141" s="255"/>
      <c r="G141" s="238"/>
      <c r="H141" s="247"/>
      <c r="I141" s="238"/>
      <c r="J141" s="247"/>
      <c r="K141" s="247"/>
      <c r="L141" s="247"/>
      <c r="M141" s="238"/>
      <c r="N141" s="238"/>
      <c r="O141" s="251"/>
      <c r="P141" s="247"/>
      <c r="Q141" s="247"/>
      <c r="R141" s="238"/>
      <c r="S141" s="238"/>
      <c r="T141" s="238"/>
      <c r="U141" s="238"/>
      <c r="V141" s="238"/>
      <c r="W141" s="238"/>
      <c r="X141" s="238"/>
      <c r="Y141" s="238"/>
      <c r="Z141" s="238"/>
    </row>
    <row r="142">
      <c r="A142" s="247"/>
      <c r="B142" s="247"/>
      <c r="C142" s="247"/>
      <c r="D142" s="238"/>
      <c r="E142" s="254"/>
      <c r="F142" s="255"/>
      <c r="G142" s="238"/>
      <c r="H142" s="247"/>
      <c r="I142" s="238"/>
      <c r="J142" s="247"/>
      <c r="K142" s="247"/>
      <c r="L142" s="247"/>
      <c r="M142" s="238"/>
      <c r="N142" s="238"/>
      <c r="O142" s="251"/>
      <c r="P142" s="247"/>
      <c r="Q142" s="247"/>
      <c r="R142" s="238"/>
      <c r="S142" s="238"/>
      <c r="T142" s="238"/>
      <c r="U142" s="238"/>
      <c r="V142" s="238"/>
      <c r="W142" s="238"/>
      <c r="X142" s="238"/>
      <c r="Y142" s="238"/>
      <c r="Z142" s="238"/>
    </row>
    <row r="143">
      <c r="A143" s="247"/>
      <c r="B143" s="247"/>
      <c r="C143" s="247"/>
      <c r="D143" s="238"/>
      <c r="E143" s="254"/>
      <c r="F143" s="255"/>
      <c r="G143" s="238"/>
      <c r="H143" s="247"/>
      <c r="I143" s="238"/>
      <c r="J143" s="247"/>
      <c r="K143" s="247"/>
      <c r="L143" s="247"/>
      <c r="M143" s="238"/>
      <c r="N143" s="238"/>
      <c r="O143" s="251"/>
      <c r="P143" s="247"/>
      <c r="Q143" s="247"/>
      <c r="R143" s="238"/>
      <c r="S143" s="238"/>
      <c r="T143" s="238"/>
      <c r="U143" s="238"/>
      <c r="V143" s="238"/>
      <c r="W143" s="238"/>
      <c r="X143" s="238"/>
      <c r="Y143" s="238"/>
      <c r="Z143" s="238"/>
    </row>
    <row r="144">
      <c r="A144" s="247"/>
      <c r="B144" s="247"/>
      <c r="C144" s="247"/>
      <c r="D144" s="238"/>
      <c r="E144" s="254"/>
      <c r="F144" s="255"/>
      <c r="G144" s="238"/>
      <c r="H144" s="247"/>
      <c r="I144" s="238"/>
      <c r="J144" s="247"/>
      <c r="K144" s="247"/>
      <c r="L144" s="247"/>
      <c r="M144" s="238"/>
      <c r="N144" s="238"/>
      <c r="O144" s="251"/>
      <c r="P144" s="247"/>
      <c r="Q144" s="247"/>
      <c r="R144" s="238"/>
      <c r="S144" s="238"/>
      <c r="T144" s="238"/>
      <c r="U144" s="238"/>
      <c r="V144" s="238"/>
      <c r="W144" s="238"/>
      <c r="X144" s="238"/>
      <c r="Y144" s="238"/>
      <c r="Z144" s="238"/>
    </row>
    <row r="145">
      <c r="A145" s="247"/>
      <c r="B145" s="247"/>
      <c r="C145" s="247"/>
      <c r="D145" s="238"/>
      <c r="E145" s="254"/>
      <c r="F145" s="255"/>
      <c r="G145" s="238"/>
      <c r="H145" s="247"/>
      <c r="I145" s="238"/>
      <c r="J145" s="247"/>
      <c r="K145" s="247"/>
      <c r="L145" s="247"/>
      <c r="M145" s="238"/>
      <c r="N145" s="238"/>
      <c r="O145" s="251"/>
      <c r="P145" s="247"/>
      <c r="Q145" s="247"/>
      <c r="R145" s="238"/>
      <c r="S145" s="238"/>
      <c r="T145" s="238"/>
      <c r="U145" s="238"/>
      <c r="V145" s="238"/>
      <c r="W145" s="238"/>
      <c r="X145" s="238"/>
      <c r="Y145" s="238"/>
      <c r="Z145" s="238"/>
    </row>
    <row r="146">
      <c r="A146" s="247"/>
      <c r="B146" s="247"/>
      <c r="C146" s="247"/>
      <c r="D146" s="238"/>
      <c r="E146" s="254"/>
      <c r="F146" s="255"/>
      <c r="G146" s="238"/>
      <c r="H146" s="247"/>
      <c r="I146" s="238"/>
      <c r="J146" s="247"/>
      <c r="K146" s="247"/>
      <c r="L146" s="247"/>
      <c r="M146" s="238"/>
      <c r="N146" s="238"/>
      <c r="O146" s="251"/>
      <c r="P146" s="247"/>
      <c r="Q146" s="247"/>
      <c r="R146" s="238"/>
      <c r="S146" s="238"/>
      <c r="T146" s="238"/>
      <c r="U146" s="238"/>
      <c r="V146" s="238"/>
      <c r="W146" s="238"/>
      <c r="X146" s="238"/>
      <c r="Y146" s="238"/>
      <c r="Z146" s="238"/>
    </row>
    <row r="147">
      <c r="A147" s="247"/>
      <c r="B147" s="247"/>
      <c r="C147" s="247"/>
      <c r="D147" s="238"/>
      <c r="E147" s="254"/>
      <c r="F147" s="255"/>
      <c r="G147" s="238"/>
      <c r="H147" s="247"/>
      <c r="I147" s="238"/>
      <c r="J147" s="247"/>
      <c r="K147" s="247"/>
      <c r="L147" s="247"/>
      <c r="M147" s="238"/>
      <c r="N147" s="238"/>
      <c r="O147" s="251"/>
      <c r="P147" s="247"/>
      <c r="Q147" s="247"/>
      <c r="R147" s="238"/>
      <c r="S147" s="238"/>
      <c r="T147" s="238"/>
      <c r="U147" s="238"/>
      <c r="V147" s="238"/>
      <c r="W147" s="238"/>
      <c r="X147" s="238"/>
      <c r="Y147" s="238"/>
      <c r="Z147" s="238"/>
    </row>
    <row r="148">
      <c r="A148" s="247"/>
      <c r="B148" s="247"/>
      <c r="C148" s="247"/>
      <c r="D148" s="238"/>
      <c r="E148" s="254"/>
      <c r="F148" s="255"/>
      <c r="G148" s="238"/>
      <c r="H148" s="247"/>
      <c r="I148" s="238"/>
      <c r="J148" s="247"/>
      <c r="K148" s="247"/>
      <c r="L148" s="247"/>
      <c r="M148" s="238"/>
      <c r="N148" s="238"/>
      <c r="O148" s="251"/>
      <c r="P148" s="247"/>
      <c r="Q148" s="247"/>
      <c r="R148" s="238"/>
      <c r="S148" s="238"/>
      <c r="T148" s="238"/>
      <c r="U148" s="238"/>
      <c r="V148" s="238"/>
      <c r="W148" s="238"/>
      <c r="X148" s="238"/>
      <c r="Y148" s="238"/>
      <c r="Z148" s="238"/>
    </row>
    <row r="149">
      <c r="A149" s="247"/>
      <c r="B149" s="247"/>
      <c r="C149" s="247"/>
      <c r="D149" s="238"/>
      <c r="E149" s="254"/>
      <c r="F149" s="255"/>
      <c r="G149" s="238"/>
      <c r="H149" s="247"/>
      <c r="I149" s="238"/>
      <c r="J149" s="247"/>
      <c r="K149" s="247"/>
      <c r="L149" s="247"/>
      <c r="M149" s="238"/>
      <c r="N149" s="238"/>
      <c r="O149" s="251"/>
      <c r="P149" s="247"/>
      <c r="Q149" s="247"/>
      <c r="R149" s="238"/>
      <c r="S149" s="238"/>
      <c r="T149" s="238"/>
      <c r="U149" s="238"/>
      <c r="V149" s="238"/>
      <c r="W149" s="238"/>
      <c r="X149" s="238"/>
      <c r="Y149" s="238"/>
      <c r="Z149" s="238"/>
    </row>
    <row r="150">
      <c r="A150" s="247"/>
      <c r="B150" s="247"/>
      <c r="C150" s="247"/>
      <c r="D150" s="238"/>
      <c r="E150" s="254"/>
      <c r="F150" s="255"/>
      <c r="G150" s="238"/>
      <c r="H150" s="247"/>
      <c r="I150" s="238"/>
      <c r="J150" s="247"/>
      <c r="K150" s="247"/>
      <c r="L150" s="247"/>
      <c r="M150" s="238"/>
      <c r="N150" s="238"/>
      <c r="O150" s="251"/>
      <c r="P150" s="247"/>
      <c r="Q150" s="247"/>
      <c r="R150" s="238"/>
      <c r="S150" s="238"/>
      <c r="T150" s="238"/>
      <c r="U150" s="238"/>
      <c r="V150" s="238"/>
      <c r="W150" s="238"/>
      <c r="X150" s="238"/>
      <c r="Y150" s="238"/>
      <c r="Z150" s="238"/>
    </row>
    <row r="151">
      <c r="A151" s="247"/>
      <c r="B151" s="247"/>
      <c r="C151" s="247"/>
      <c r="D151" s="238"/>
      <c r="E151" s="254"/>
      <c r="F151" s="255"/>
      <c r="G151" s="238"/>
      <c r="H151" s="247"/>
      <c r="I151" s="238"/>
      <c r="J151" s="247"/>
      <c r="K151" s="247"/>
      <c r="L151" s="247"/>
      <c r="M151" s="238"/>
      <c r="N151" s="238"/>
      <c r="O151" s="251"/>
      <c r="P151" s="247"/>
      <c r="Q151" s="247"/>
      <c r="R151" s="238"/>
      <c r="S151" s="238"/>
      <c r="T151" s="238"/>
      <c r="U151" s="238"/>
      <c r="V151" s="238"/>
      <c r="W151" s="238"/>
      <c r="X151" s="238"/>
      <c r="Y151" s="238"/>
      <c r="Z151" s="238"/>
    </row>
    <row r="152">
      <c r="A152" s="247"/>
      <c r="B152" s="247"/>
      <c r="C152" s="247"/>
      <c r="D152" s="238"/>
      <c r="E152" s="254"/>
      <c r="F152" s="255"/>
      <c r="G152" s="238"/>
      <c r="H152" s="247"/>
      <c r="I152" s="238"/>
      <c r="J152" s="247"/>
      <c r="K152" s="247"/>
      <c r="L152" s="247"/>
      <c r="M152" s="238"/>
      <c r="N152" s="238"/>
      <c r="O152" s="251"/>
      <c r="P152" s="247"/>
      <c r="Q152" s="247"/>
      <c r="R152" s="238"/>
      <c r="S152" s="238"/>
      <c r="T152" s="238"/>
      <c r="U152" s="238"/>
      <c r="V152" s="238"/>
      <c r="W152" s="238"/>
      <c r="X152" s="238"/>
      <c r="Y152" s="238"/>
      <c r="Z152" s="238"/>
    </row>
    <row r="153">
      <c r="A153" s="247"/>
      <c r="B153" s="247"/>
      <c r="C153" s="247"/>
      <c r="D153" s="238"/>
      <c r="E153" s="254"/>
      <c r="F153" s="255"/>
      <c r="G153" s="238"/>
      <c r="H153" s="247"/>
      <c r="I153" s="238"/>
      <c r="J153" s="247"/>
      <c r="K153" s="247"/>
      <c r="L153" s="247"/>
      <c r="M153" s="238"/>
      <c r="N153" s="238"/>
      <c r="O153" s="251"/>
      <c r="P153" s="247"/>
      <c r="Q153" s="247"/>
      <c r="R153" s="238"/>
      <c r="S153" s="238"/>
      <c r="T153" s="238"/>
      <c r="U153" s="238"/>
      <c r="V153" s="238"/>
      <c r="W153" s="238"/>
      <c r="X153" s="238"/>
      <c r="Y153" s="238"/>
      <c r="Z153" s="238"/>
    </row>
    <row r="154">
      <c r="A154" s="247"/>
      <c r="B154" s="247"/>
      <c r="C154" s="247"/>
      <c r="D154" s="238"/>
      <c r="E154" s="254"/>
      <c r="F154" s="255"/>
      <c r="G154" s="238"/>
      <c r="H154" s="247"/>
      <c r="I154" s="238"/>
      <c r="J154" s="247"/>
      <c r="K154" s="247"/>
      <c r="L154" s="247"/>
      <c r="M154" s="238"/>
      <c r="N154" s="238"/>
      <c r="O154" s="251"/>
      <c r="P154" s="247"/>
      <c r="Q154" s="247"/>
      <c r="R154" s="238"/>
      <c r="S154" s="238"/>
      <c r="T154" s="238"/>
      <c r="U154" s="238"/>
      <c r="V154" s="238"/>
      <c r="W154" s="238"/>
      <c r="X154" s="238"/>
      <c r="Y154" s="238"/>
      <c r="Z154" s="238"/>
    </row>
    <row r="155">
      <c r="A155" s="247"/>
      <c r="B155" s="247"/>
      <c r="C155" s="247"/>
      <c r="D155" s="238"/>
      <c r="E155" s="254"/>
      <c r="F155" s="255"/>
      <c r="G155" s="238"/>
      <c r="H155" s="247"/>
      <c r="I155" s="238"/>
      <c r="J155" s="247"/>
      <c r="K155" s="247"/>
      <c r="L155" s="247"/>
      <c r="M155" s="238"/>
      <c r="N155" s="238"/>
      <c r="O155" s="251"/>
      <c r="P155" s="247"/>
      <c r="Q155" s="247"/>
      <c r="R155" s="238"/>
      <c r="S155" s="238"/>
      <c r="T155" s="238"/>
      <c r="U155" s="238"/>
      <c r="V155" s="238"/>
      <c r="W155" s="238"/>
      <c r="X155" s="238"/>
      <c r="Y155" s="238"/>
      <c r="Z155" s="238"/>
    </row>
    <row r="156">
      <c r="A156" s="247"/>
      <c r="B156" s="247"/>
      <c r="C156" s="247"/>
      <c r="D156" s="238"/>
      <c r="E156" s="254"/>
      <c r="F156" s="255"/>
      <c r="G156" s="238"/>
      <c r="H156" s="247"/>
      <c r="I156" s="238"/>
      <c r="J156" s="247"/>
      <c r="K156" s="247"/>
      <c r="L156" s="247"/>
      <c r="M156" s="238"/>
      <c r="N156" s="238"/>
      <c r="O156" s="251"/>
      <c r="P156" s="247"/>
      <c r="Q156" s="247"/>
      <c r="R156" s="238"/>
      <c r="S156" s="238"/>
      <c r="T156" s="238"/>
      <c r="U156" s="238"/>
      <c r="V156" s="238"/>
      <c r="W156" s="238"/>
      <c r="X156" s="238"/>
      <c r="Y156" s="238"/>
      <c r="Z156" s="238"/>
    </row>
    <row r="157">
      <c r="A157" s="247"/>
      <c r="B157" s="247"/>
      <c r="C157" s="247"/>
      <c r="D157" s="238"/>
      <c r="E157" s="254"/>
      <c r="F157" s="255"/>
      <c r="G157" s="238"/>
      <c r="H157" s="247"/>
      <c r="I157" s="238"/>
      <c r="J157" s="247"/>
      <c r="K157" s="247"/>
      <c r="L157" s="247"/>
      <c r="M157" s="238"/>
      <c r="N157" s="238"/>
      <c r="O157" s="251"/>
      <c r="P157" s="247"/>
      <c r="Q157" s="247"/>
      <c r="R157" s="238"/>
      <c r="S157" s="238"/>
      <c r="T157" s="238"/>
      <c r="U157" s="238"/>
      <c r="V157" s="238"/>
      <c r="W157" s="238"/>
      <c r="X157" s="238"/>
      <c r="Y157" s="238"/>
      <c r="Z157" s="238"/>
    </row>
    <row r="158">
      <c r="A158" s="247"/>
      <c r="B158" s="247"/>
      <c r="C158" s="247"/>
      <c r="D158" s="238"/>
      <c r="E158" s="254"/>
      <c r="F158" s="255"/>
      <c r="G158" s="238"/>
      <c r="H158" s="247"/>
      <c r="I158" s="238"/>
      <c r="J158" s="247"/>
      <c r="K158" s="247"/>
      <c r="L158" s="247"/>
      <c r="M158" s="238"/>
      <c r="N158" s="238"/>
      <c r="O158" s="251"/>
      <c r="P158" s="247"/>
      <c r="Q158" s="247"/>
      <c r="R158" s="238"/>
      <c r="S158" s="238"/>
      <c r="T158" s="238"/>
      <c r="U158" s="238"/>
      <c r="V158" s="238"/>
      <c r="W158" s="238"/>
      <c r="X158" s="238"/>
      <c r="Y158" s="238"/>
      <c r="Z158" s="238"/>
    </row>
    <row r="159">
      <c r="A159" s="247"/>
      <c r="B159" s="247"/>
      <c r="C159" s="247"/>
      <c r="D159" s="238"/>
      <c r="E159" s="254"/>
      <c r="F159" s="255"/>
      <c r="G159" s="238"/>
      <c r="H159" s="247"/>
      <c r="I159" s="238"/>
      <c r="J159" s="247"/>
      <c r="K159" s="247"/>
      <c r="L159" s="247"/>
      <c r="M159" s="238"/>
      <c r="N159" s="238"/>
      <c r="O159" s="251"/>
      <c r="P159" s="247"/>
      <c r="Q159" s="247"/>
      <c r="R159" s="238"/>
      <c r="S159" s="238"/>
      <c r="T159" s="238"/>
      <c r="U159" s="238"/>
      <c r="V159" s="238"/>
      <c r="W159" s="238"/>
      <c r="X159" s="238"/>
      <c r="Y159" s="238"/>
      <c r="Z159" s="238"/>
    </row>
    <row r="160">
      <c r="A160" s="247"/>
      <c r="B160" s="247"/>
      <c r="C160" s="247"/>
      <c r="D160" s="238"/>
      <c r="E160" s="254"/>
      <c r="F160" s="255"/>
      <c r="G160" s="238"/>
      <c r="H160" s="247"/>
      <c r="I160" s="238"/>
      <c r="J160" s="247"/>
      <c r="K160" s="247"/>
      <c r="L160" s="247"/>
      <c r="M160" s="238"/>
      <c r="N160" s="238"/>
      <c r="O160" s="251"/>
      <c r="P160" s="247"/>
      <c r="Q160" s="247"/>
      <c r="R160" s="238"/>
      <c r="S160" s="238"/>
      <c r="T160" s="238"/>
      <c r="U160" s="238"/>
      <c r="V160" s="238"/>
      <c r="W160" s="238"/>
      <c r="X160" s="238"/>
      <c r="Y160" s="238"/>
      <c r="Z160" s="238"/>
    </row>
    <row r="161">
      <c r="A161" s="247"/>
      <c r="B161" s="247"/>
      <c r="C161" s="247"/>
      <c r="D161" s="238"/>
      <c r="E161" s="254"/>
      <c r="F161" s="255"/>
      <c r="G161" s="238"/>
      <c r="H161" s="247"/>
      <c r="I161" s="238"/>
      <c r="J161" s="247"/>
      <c r="K161" s="247"/>
      <c r="L161" s="247"/>
      <c r="M161" s="238"/>
      <c r="N161" s="238"/>
      <c r="O161" s="251"/>
      <c r="P161" s="247"/>
      <c r="Q161" s="247"/>
      <c r="R161" s="238"/>
      <c r="S161" s="238"/>
      <c r="T161" s="238"/>
      <c r="U161" s="238"/>
      <c r="V161" s="238"/>
      <c r="W161" s="238"/>
      <c r="X161" s="238"/>
      <c r="Y161" s="238"/>
      <c r="Z161" s="238"/>
    </row>
    <row r="162">
      <c r="A162" s="247"/>
      <c r="B162" s="247"/>
      <c r="C162" s="247"/>
      <c r="D162" s="238"/>
      <c r="E162" s="254"/>
      <c r="F162" s="255"/>
      <c r="G162" s="238"/>
      <c r="H162" s="247"/>
      <c r="I162" s="238"/>
      <c r="J162" s="247"/>
      <c r="K162" s="247"/>
      <c r="L162" s="247"/>
      <c r="M162" s="238"/>
      <c r="N162" s="238"/>
      <c r="O162" s="251"/>
      <c r="P162" s="247"/>
      <c r="Q162" s="247"/>
      <c r="R162" s="238"/>
      <c r="S162" s="238"/>
      <c r="T162" s="238"/>
      <c r="U162" s="238"/>
      <c r="V162" s="238"/>
      <c r="W162" s="238"/>
      <c r="X162" s="238"/>
      <c r="Y162" s="238"/>
      <c r="Z162" s="238"/>
    </row>
    <row r="163">
      <c r="A163" s="247"/>
      <c r="B163" s="247"/>
      <c r="C163" s="247"/>
      <c r="D163" s="238"/>
      <c r="E163" s="254"/>
      <c r="F163" s="255"/>
      <c r="G163" s="238"/>
      <c r="H163" s="247"/>
      <c r="I163" s="238"/>
      <c r="J163" s="247"/>
      <c r="K163" s="247"/>
      <c r="L163" s="247"/>
      <c r="M163" s="238"/>
      <c r="N163" s="238"/>
      <c r="O163" s="251"/>
      <c r="P163" s="247"/>
      <c r="Q163" s="247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>
      <c r="A164" s="247"/>
      <c r="B164" s="247"/>
      <c r="C164" s="247"/>
      <c r="D164" s="238"/>
      <c r="E164" s="254"/>
      <c r="F164" s="255"/>
      <c r="G164" s="238"/>
      <c r="H164" s="247"/>
      <c r="I164" s="238"/>
      <c r="J164" s="247"/>
      <c r="K164" s="247"/>
      <c r="L164" s="247"/>
      <c r="M164" s="238"/>
      <c r="N164" s="238"/>
      <c r="O164" s="251"/>
      <c r="P164" s="247"/>
      <c r="Q164" s="247"/>
      <c r="R164" s="238"/>
      <c r="S164" s="238"/>
      <c r="T164" s="238"/>
      <c r="U164" s="238"/>
      <c r="V164" s="238"/>
      <c r="W164" s="238"/>
      <c r="X164" s="238"/>
      <c r="Y164" s="238"/>
      <c r="Z164" s="238"/>
    </row>
    <row r="165">
      <c r="A165" s="247"/>
      <c r="B165" s="247"/>
      <c r="C165" s="247"/>
      <c r="D165" s="238"/>
      <c r="E165" s="254"/>
      <c r="F165" s="255"/>
      <c r="G165" s="238"/>
      <c r="H165" s="247"/>
      <c r="I165" s="238"/>
      <c r="J165" s="247"/>
      <c r="K165" s="247"/>
      <c r="L165" s="247"/>
      <c r="M165" s="238"/>
      <c r="N165" s="238"/>
      <c r="O165" s="251"/>
      <c r="P165" s="247"/>
      <c r="Q165" s="247"/>
      <c r="R165" s="238"/>
      <c r="S165" s="238"/>
      <c r="T165" s="238"/>
      <c r="U165" s="238"/>
      <c r="V165" s="238"/>
      <c r="W165" s="238"/>
      <c r="X165" s="238"/>
      <c r="Y165" s="238"/>
      <c r="Z165" s="238"/>
    </row>
    <row r="166">
      <c r="A166" s="247"/>
      <c r="B166" s="247"/>
      <c r="C166" s="247"/>
      <c r="D166" s="238"/>
      <c r="E166" s="254"/>
      <c r="F166" s="255"/>
      <c r="G166" s="238"/>
      <c r="H166" s="247"/>
      <c r="I166" s="238"/>
      <c r="J166" s="247"/>
      <c r="K166" s="247"/>
      <c r="L166" s="247"/>
      <c r="M166" s="238"/>
      <c r="N166" s="238"/>
      <c r="O166" s="251"/>
      <c r="P166" s="247"/>
      <c r="Q166" s="247"/>
      <c r="R166" s="238"/>
      <c r="S166" s="238"/>
      <c r="T166" s="238"/>
      <c r="U166" s="238"/>
      <c r="V166" s="238"/>
      <c r="W166" s="238"/>
      <c r="X166" s="238"/>
      <c r="Y166" s="238"/>
      <c r="Z166" s="238"/>
    </row>
    <row r="167">
      <c r="A167" s="247"/>
      <c r="B167" s="247"/>
      <c r="C167" s="247"/>
      <c r="D167" s="238"/>
      <c r="E167" s="254"/>
      <c r="F167" s="255"/>
      <c r="G167" s="238"/>
      <c r="H167" s="247"/>
      <c r="I167" s="238"/>
      <c r="J167" s="247"/>
      <c r="K167" s="247"/>
      <c r="L167" s="247"/>
      <c r="M167" s="238"/>
      <c r="N167" s="238"/>
      <c r="O167" s="251"/>
      <c r="P167" s="247"/>
      <c r="Q167" s="247"/>
      <c r="R167" s="238"/>
      <c r="S167" s="238"/>
      <c r="T167" s="238"/>
      <c r="U167" s="238"/>
      <c r="V167" s="238"/>
      <c r="W167" s="238"/>
      <c r="X167" s="238"/>
      <c r="Y167" s="238"/>
      <c r="Z167" s="238"/>
    </row>
    <row r="168">
      <c r="A168" s="247"/>
      <c r="B168" s="247"/>
      <c r="C168" s="247"/>
      <c r="D168" s="238"/>
      <c r="E168" s="254"/>
      <c r="F168" s="255"/>
      <c r="G168" s="238"/>
      <c r="H168" s="247"/>
      <c r="I168" s="238"/>
      <c r="J168" s="247"/>
      <c r="K168" s="247"/>
      <c r="L168" s="247"/>
      <c r="M168" s="238"/>
      <c r="N168" s="238"/>
      <c r="O168" s="251"/>
      <c r="P168" s="247"/>
      <c r="Q168" s="247"/>
      <c r="R168" s="238"/>
      <c r="S168" s="238"/>
      <c r="T168" s="238"/>
      <c r="U168" s="238"/>
      <c r="V168" s="238"/>
      <c r="W168" s="238"/>
      <c r="X168" s="238"/>
      <c r="Y168" s="238"/>
      <c r="Z168" s="238"/>
    </row>
    <row r="169">
      <c r="A169" s="247"/>
      <c r="B169" s="247"/>
      <c r="C169" s="247"/>
      <c r="D169" s="238"/>
      <c r="E169" s="254"/>
      <c r="F169" s="255"/>
      <c r="G169" s="238"/>
      <c r="H169" s="247"/>
      <c r="I169" s="238"/>
      <c r="J169" s="247"/>
      <c r="K169" s="247"/>
      <c r="L169" s="247"/>
      <c r="M169" s="238"/>
      <c r="N169" s="238"/>
      <c r="O169" s="251"/>
      <c r="P169" s="247"/>
      <c r="Q169" s="247"/>
      <c r="R169" s="238"/>
      <c r="S169" s="238"/>
      <c r="T169" s="238"/>
      <c r="U169" s="238"/>
      <c r="V169" s="238"/>
      <c r="W169" s="238"/>
      <c r="X169" s="238"/>
      <c r="Y169" s="238"/>
      <c r="Z169" s="238"/>
    </row>
    <row r="170">
      <c r="A170" s="247"/>
      <c r="B170" s="247"/>
      <c r="C170" s="247"/>
      <c r="D170" s="238"/>
      <c r="E170" s="254"/>
      <c r="F170" s="255"/>
      <c r="G170" s="238"/>
      <c r="H170" s="247"/>
      <c r="I170" s="238"/>
      <c r="J170" s="247"/>
      <c r="K170" s="247"/>
      <c r="L170" s="247"/>
      <c r="M170" s="238"/>
      <c r="N170" s="238"/>
      <c r="O170" s="251"/>
      <c r="P170" s="247"/>
      <c r="Q170" s="247"/>
      <c r="R170" s="238"/>
      <c r="S170" s="238"/>
      <c r="T170" s="238"/>
      <c r="U170" s="238"/>
      <c r="V170" s="238"/>
      <c r="W170" s="238"/>
      <c r="X170" s="238"/>
      <c r="Y170" s="238"/>
      <c r="Z170" s="238"/>
    </row>
    <row r="171">
      <c r="A171" s="247"/>
      <c r="B171" s="247"/>
      <c r="C171" s="247"/>
      <c r="D171" s="238"/>
      <c r="E171" s="254"/>
      <c r="F171" s="255"/>
      <c r="G171" s="238"/>
      <c r="H171" s="247"/>
      <c r="I171" s="238"/>
      <c r="J171" s="247"/>
      <c r="K171" s="247"/>
      <c r="L171" s="247"/>
      <c r="M171" s="238"/>
      <c r="N171" s="238"/>
      <c r="O171" s="251"/>
      <c r="P171" s="247"/>
      <c r="Q171" s="247"/>
      <c r="R171" s="238"/>
      <c r="S171" s="238"/>
      <c r="T171" s="238"/>
      <c r="U171" s="238"/>
      <c r="V171" s="238"/>
      <c r="W171" s="238"/>
      <c r="X171" s="238"/>
      <c r="Y171" s="238"/>
      <c r="Z171" s="238"/>
    </row>
    <row r="172">
      <c r="A172" s="247"/>
      <c r="B172" s="247"/>
      <c r="C172" s="247"/>
      <c r="D172" s="238"/>
      <c r="E172" s="254"/>
      <c r="F172" s="255"/>
      <c r="G172" s="238"/>
      <c r="H172" s="247"/>
      <c r="I172" s="238"/>
      <c r="J172" s="247"/>
      <c r="K172" s="247"/>
      <c r="L172" s="247"/>
      <c r="M172" s="238"/>
      <c r="N172" s="238"/>
      <c r="O172" s="251"/>
      <c r="P172" s="247"/>
      <c r="Q172" s="247"/>
      <c r="R172" s="238"/>
      <c r="S172" s="238"/>
      <c r="T172" s="238"/>
      <c r="U172" s="238"/>
      <c r="V172" s="238"/>
      <c r="W172" s="238"/>
      <c r="X172" s="238"/>
      <c r="Y172" s="238"/>
      <c r="Z172" s="238"/>
    </row>
    <row r="173">
      <c r="A173" s="247"/>
      <c r="B173" s="247"/>
      <c r="C173" s="247"/>
      <c r="D173" s="238"/>
      <c r="E173" s="254"/>
      <c r="F173" s="255"/>
      <c r="G173" s="238"/>
      <c r="H173" s="247"/>
      <c r="I173" s="238"/>
      <c r="J173" s="247"/>
      <c r="K173" s="247"/>
      <c r="L173" s="247"/>
      <c r="M173" s="238"/>
      <c r="N173" s="238"/>
      <c r="O173" s="251"/>
      <c r="P173" s="247"/>
      <c r="Q173" s="247"/>
      <c r="R173" s="238"/>
      <c r="S173" s="238"/>
      <c r="T173" s="238"/>
      <c r="U173" s="238"/>
      <c r="V173" s="238"/>
      <c r="W173" s="238"/>
      <c r="X173" s="238"/>
      <c r="Y173" s="238"/>
      <c r="Z173" s="238"/>
    </row>
    <row r="174">
      <c r="A174" s="247"/>
      <c r="B174" s="247"/>
      <c r="C174" s="247"/>
      <c r="D174" s="238"/>
      <c r="E174" s="254"/>
      <c r="F174" s="255"/>
      <c r="G174" s="238"/>
      <c r="H174" s="247"/>
      <c r="I174" s="238"/>
      <c r="J174" s="247"/>
      <c r="K174" s="247"/>
      <c r="L174" s="247"/>
      <c r="M174" s="238"/>
      <c r="N174" s="238"/>
      <c r="O174" s="251"/>
      <c r="P174" s="247"/>
      <c r="Q174" s="247"/>
      <c r="R174" s="238"/>
      <c r="S174" s="238"/>
      <c r="T174" s="238"/>
      <c r="U174" s="238"/>
      <c r="V174" s="238"/>
      <c r="W174" s="238"/>
      <c r="X174" s="238"/>
      <c r="Y174" s="238"/>
      <c r="Z174" s="238"/>
    </row>
    <row r="175">
      <c r="A175" s="247"/>
      <c r="B175" s="247"/>
      <c r="C175" s="247"/>
      <c r="D175" s="238"/>
      <c r="E175" s="254"/>
      <c r="F175" s="255"/>
      <c r="G175" s="238"/>
      <c r="H175" s="247"/>
      <c r="I175" s="238"/>
      <c r="J175" s="247"/>
      <c r="K175" s="247"/>
      <c r="L175" s="247"/>
      <c r="M175" s="238"/>
      <c r="N175" s="238"/>
      <c r="O175" s="251"/>
      <c r="P175" s="247"/>
      <c r="Q175" s="247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>
      <c r="A176" s="247"/>
      <c r="B176" s="247"/>
      <c r="C176" s="247"/>
      <c r="D176" s="238"/>
      <c r="E176" s="254"/>
      <c r="F176" s="255"/>
      <c r="G176" s="238"/>
      <c r="H176" s="247"/>
      <c r="I176" s="238"/>
      <c r="J176" s="247"/>
      <c r="K176" s="247"/>
      <c r="L176" s="247"/>
      <c r="M176" s="238"/>
      <c r="N176" s="238"/>
      <c r="O176" s="251"/>
      <c r="P176" s="247"/>
      <c r="Q176" s="247"/>
      <c r="R176" s="238"/>
      <c r="S176" s="238"/>
      <c r="T176" s="238"/>
      <c r="U176" s="238"/>
      <c r="V176" s="238"/>
      <c r="W176" s="238"/>
      <c r="X176" s="238"/>
      <c r="Y176" s="238"/>
      <c r="Z176" s="238"/>
    </row>
    <row r="177">
      <c r="A177" s="247"/>
      <c r="B177" s="247"/>
      <c r="C177" s="247"/>
      <c r="D177" s="238"/>
      <c r="E177" s="254"/>
      <c r="F177" s="255"/>
      <c r="G177" s="238"/>
      <c r="H177" s="247"/>
      <c r="I177" s="238"/>
      <c r="J177" s="247"/>
      <c r="K177" s="247"/>
      <c r="L177" s="247"/>
      <c r="M177" s="238"/>
      <c r="N177" s="238"/>
      <c r="O177" s="251"/>
      <c r="P177" s="247"/>
      <c r="Q177" s="247"/>
      <c r="R177" s="238"/>
      <c r="S177" s="238"/>
      <c r="T177" s="238"/>
      <c r="U177" s="238"/>
      <c r="V177" s="238"/>
      <c r="W177" s="238"/>
      <c r="X177" s="238"/>
      <c r="Y177" s="238"/>
      <c r="Z177" s="238"/>
    </row>
    <row r="178">
      <c r="A178" s="247"/>
      <c r="B178" s="247"/>
      <c r="C178" s="247"/>
      <c r="D178" s="238"/>
      <c r="E178" s="254"/>
      <c r="F178" s="255"/>
      <c r="G178" s="238"/>
      <c r="H178" s="247"/>
      <c r="I178" s="238"/>
      <c r="J178" s="247"/>
      <c r="K178" s="247"/>
      <c r="L178" s="247"/>
      <c r="M178" s="238"/>
      <c r="N178" s="238"/>
      <c r="O178" s="251"/>
      <c r="P178" s="247"/>
      <c r="Q178" s="247"/>
      <c r="R178" s="238"/>
      <c r="S178" s="238"/>
      <c r="T178" s="238"/>
      <c r="U178" s="238"/>
      <c r="V178" s="238"/>
      <c r="W178" s="238"/>
      <c r="X178" s="238"/>
      <c r="Y178" s="238"/>
      <c r="Z178" s="238"/>
    </row>
    <row r="179">
      <c r="A179" s="247"/>
      <c r="B179" s="247"/>
      <c r="C179" s="247"/>
      <c r="D179" s="238"/>
      <c r="E179" s="254"/>
      <c r="F179" s="255"/>
      <c r="G179" s="238"/>
      <c r="H179" s="247"/>
      <c r="I179" s="238"/>
      <c r="J179" s="247"/>
      <c r="K179" s="247"/>
      <c r="L179" s="247"/>
      <c r="M179" s="238"/>
      <c r="N179" s="238"/>
      <c r="O179" s="251"/>
      <c r="P179" s="247"/>
      <c r="Q179" s="247"/>
      <c r="R179" s="238"/>
      <c r="S179" s="238"/>
      <c r="T179" s="238"/>
      <c r="U179" s="238"/>
      <c r="V179" s="238"/>
      <c r="W179" s="238"/>
      <c r="X179" s="238"/>
      <c r="Y179" s="238"/>
      <c r="Z179" s="238"/>
    </row>
    <row r="180">
      <c r="A180" s="247"/>
      <c r="B180" s="247"/>
      <c r="C180" s="247"/>
      <c r="D180" s="238"/>
      <c r="E180" s="254"/>
      <c r="F180" s="255"/>
      <c r="G180" s="238"/>
      <c r="H180" s="247"/>
      <c r="I180" s="238"/>
      <c r="J180" s="247"/>
      <c r="K180" s="247"/>
      <c r="L180" s="247"/>
      <c r="M180" s="238"/>
      <c r="N180" s="238"/>
      <c r="O180" s="251"/>
      <c r="P180" s="247"/>
      <c r="Q180" s="247"/>
      <c r="R180" s="238"/>
      <c r="S180" s="238"/>
      <c r="T180" s="238"/>
      <c r="U180" s="238"/>
      <c r="V180" s="238"/>
      <c r="W180" s="238"/>
      <c r="X180" s="238"/>
      <c r="Y180" s="238"/>
      <c r="Z180" s="238"/>
    </row>
    <row r="181">
      <c r="A181" s="247"/>
      <c r="B181" s="247"/>
      <c r="C181" s="247"/>
      <c r="D181" s="238"/>
      <c r="E181" s="254"/>
      <c r="F181" s="255"/>
      <c r="G181" s="238"/>
      <c r="H181" s="247"/>
      <c r="I181" s="238"/>
      <c r="J181" s="247"/>
      <c r="K181" s="247"/>
      <c r="L181" s="247"/>
      <c r="M181" s="238"/>
      <c r="N181" s="238"/>
      <c r="O181" s="251"/>
      <c r="P181" s="247"/>
      <c r="Q181" s="247"/>
      <c r="R181" s="238"/>
      <c r="S181" s="238"/>
      <c r="T181" s="238"/>
      <c r="U181" s="238"/>
      <c r="V181" s="238"/>
      <c r="W181" s="238"/>
      <c r="X181" s="238"/>
      <c r="Y181" s="238"/>
      <c r="Z181" s="238"/>
    </row>
    <row r="182">
      <c r="A182" s="247"/>
      <c r="B182" s="247"/>
      <c r="C182" s="247"/>
      <c r="D182" s="238"/>
      <c r="E182" s="254"/>
      <c r="F182" s="255"/>
      <c r="G182" s="238"/>
      <c r="H182" s="247"/>
      <c r="I182" s="238"/>
      <c r="J182" s="247"/>
      <c r="K182" s="247"/>
      <c r="L182" s="247"/>
      <c r="M182" s="238"/>
      <c r="N182" s="238"/>
      <c r="O182" s="251"/>
      <c r="P182" s="247"/>
      <c r="Q182" s="247"/>
      <c r="R182" s="238"/>
      <c r="S182" s="238"/>
      <c r="T182" s="238"/>
      <c r="U182" s="238"/>
      <c r="V182" s="238"/>
      <c r="W182" s="238"/>
      <c r="X182" s="238"/>
      <c r="Y182" s="238"/>
      <c r="Z182" s="238"/>
    </row>
    <row r="183">
      <c r="A183" s="247"/>
      <c r="B183" s="247"/>
      <c r="C183" s="247"/>
      <c r="D183" s="238"/>
      <c r="E183" s="254"/>
      <c r="F183" s="255"/>
      <c r="G183" s="238"/>
      <c r="H183" s="247"/>
      <c r="I183" s="238"/>
      <c r="J183" s="247"/>
      <c r="K183" s="247"/>
      <c r="L183" s="247"/>
      <c r="M183" s="238"/>
      <c r="N183" s="238"/>
      <c r="O183" s="251"/>
      <c r="P183" s="247"/>
      <c r="Q183" s="247"/>
      <c r="R183" s="238"/>
      <c r="S183" s="238"/>
      <c r="T183" s="238"/>
      <c r="U183" s="238"/>
      <c r="V183" s="238"/>
      <c r="W183" s="238"/>
      <c r="X183" s="238"/>
      <c r="Y183" s="238"/>
      <c r="Z183" s="238"/>
    </row>
    <row r="184">
      <c r="A184" s="247"/>
      <c r="B184" s="247"/>
      <c r="C184" s="247"/>
      <c r="D184" s="238"/>
      <c r="E184" s="254"/>
      <c r="F184" s="255"/>
      <c r="G184" s="238"/>
      <c r="H184" s="247"/>
      <c r="I184" s="238"/>
      <c r="J184" s="247"/>
      <c r="K184" s="247"/>
      <c r="L184" s="247"/>
      <c r="M184" s="238"/>
      <c r="N184" s="238"/>
      <c r="O184" s="251"/>
      <c r="P184" s="247"/>
      <c r="Q184" s="247"/>
      <c r="R184" s="238"/>
      <c r="S184" s="238"/>
      <c r="T184" s="238"/>
      <c r="U184" s="238"/>
      <c r="V184" s="238"/>
      <c r="W184" s="238"/>
      <c r="X184" s="238"/>
      <c r="Y184" s="238"/>
      <c r="Z184" s="238"/>
    </row>
    <row r="185">
      <c r="A185" s="247"/>
      <c r="B185" s="247"/>
      <c r="C185" s="247"/>
      <c r="D185" s="238"/>
      <c r="E185" s="254"/>
      <c r="F185" s="255"/>
      <c r="G185" s="238"/>
      <c r="H185" s="247"/>
      <c r="I185" s="238"/>
      <c r="J185" s="247"/>
      <c r="K185" s="247"/>
      <c r="L185" s="247"/>
      <c r="M185" s="238"/>
      <c r="N185" s="238"/>
      <c r="O185" s="251"/>
      <c r="P185" s="247"/>
      <c r="Q185" s="247"/>
      <c r="R185" s="238"/>
      <c r="S185" s="238"/>
      <c r="T185" s="238"/>
      <c r="U185" s="238"/>
      <c r="V185" s="238"/>
      <c r="W185" s="238"/>
      <c r="X185" s="238"/>
      <c r="Y185" s="238"/>
      <c r="Z185" s="238"/>
    </row>
    <row r="186">
      <c r="A186" s="247"/>
      <c r="B186" s="247"/>
      <c r="C186" s="247"/>
      <c r="D186" s="238"/>
      <c r="E186" s="254"/>
      <c r="F186" s="255"/>
      <c r="G186" s="238"/>
      <c r="H186" s="247"/>
      <c r="I186" s="238"/>
      <c r="J186" s="247"/>
      <c r="K186" s="247"/>
      <c r="L186" s="247"/>
      <c r="M186" s="238"/>
      <c r="N186" s="238"/>
      <c r="O186" s="251"/>
      <c r="P186" s="247"/>
      <c r="Q186" s="247"/>
      <c r="R186" s="238"/>
      <c r="S186" s="238"/>
      <c r="T186" s="238"/>
      <c r="U186" s="238"/>
      <c r="V186" s="238"/>
      <c r="W186" s="238"/>
      <c r="X186" s="238"/>
      <c r="Y186" s="238"/>
      <c r="Z186" s="238"/>
    </row>
    <row r="187">
      <c r="A187" s="247"/>
      <c r="B187" s="247"/>
      <c r="C187" s="247"/>
      <c r="D187" s="238"/>
      <c r="E187" s="254"/>
      <c r="F187" s="255"/>
      <c r="G187" s="238"/>
      <c r="H187" s="247"/>
      <c r="I187" s="238"/>
      <c r="J187" s="247"/>
      <c r="K187" s="247"/>
      <c r="L187" s="247"/>
      <c r="M187" s="238"/>
      <c r="N187" s="238"/>
      <c r="O187" s="251"/>
      <c r="P187" s="247"/>
      <c r="Q187" s="247"/>
      <c r="R187" s="238"/>
      <c r="S187" s="238"/>
      <c r="T187" s="238"/>
      <c r="U187" s="238"/>
      <c r="V187" s="238"/>
      <c r="W187" s="238"/>
      <c r="X187" s="238"/>
      <c r="Y187" s="238"/>
      <c r="Z187" s="238"/>
    </row>
    <row r="188">
      <c r="A188" s="247"/>
      <c r="B188" s="247"/>
      <c r="C188" s="247"/>
      <c r="D188" s="238"/>
      <c r="E188" s="254"/>
      <c r="F188" s="255"/>
      <c r="G188" s="238"/>
      <c r="H188" s="247"/>
      <c r="I188" s="238"/>
      <c r="J188" s="247"/>
      <c r="K188" s="247"/>
      <c r="L188" s="247"/>
      <c r="M188" s="238"/>
      <c r="N188" s="238"/>
      <c r="O188" s="251"/>
      <c r="P188" s="247"/>
      <c r="Q188" s="247"/>
      <c r="R188" s="238"/>
      <c r="S188" s="238"/>
      <c r="T188" s="238"/>
      <c r="U188" s="238"/>
      <c r="V188" s="238"/>
      <c r="W188" s="238"/>
      <c r="X188" s="238"/>
      <c r="Y188" s="238"/>
      <c r="Z188" s="238"/>
    </row>
    <row r="189">
      <c r="A189" s="247"/>
      <c r="B189" s="247"/>
      <c r="C189" s="247"/>
      <c r="D189" s="238"/>
      <c r="E189" s="254"/>
      <c r="F189" s="255"/>
      <c r="G189" s="238"/>
      <c r="H189" s="247"/>
      <c r="I189" s="238"/>
      <c r="J189" s="247"/>
      <c r="K189" s="247"/>
      <c r="L189" s="247"/>
      <c r="M189" s="238"/>
      <c r="N189" s="238"/>
      <c r="O189" s="251"/>
      <c r="P189" s="247"/>
      <c r="Q189" s="247"/>
      <c r="R189" s="238"/>
      <c r="S189" s="238"/>
      <c r="T189" s="238"/>
      <c r="U189" s="238"/>
      <c r="V189" s="238"/>
      <c r="W189" s="238"/>
      <c r="X189" s="238"/>
      <c r="Y189" s="238"/>
      <c r="Z189" s="238"/>
    </row>
    <row r="190">
      <c r="A190" s="247"/>
      <c r="B190" s="247"/>
      <c r="C190" s="247"/>
      <c r="D190" s="238"/>
      <c r="E190" s="254"/>
      <c r="F190" s="255"/>
      <c r="G190" s="238"/>
      <c r="H190" s="247"/>
      <c r="I190" s="238"/>
      <c r="J190" s="247"/>
      <c r="K190" s="247"/>
      <c r="L190" s="247"/>
      <c r="M190" s="238"/>
      <c r="N190" s="238"/>
      <c r="O190" s="251"/>
      <c r="P190" s="247"/>
      <c r="Q190" s="247"/>
      <c r="R190" s="238"/>
      <c r="S190" s="238"/>
      <c r="T190" s="238"/>
      <c r="U190" s="238"/>
      <c r="V190" s="238"/>
      <c r="W190" s="238"/>
      <c r="X190" s="238"/>
      <c r="Y190" s="238"/>
      <c r="Z190" s="238"/>
    </row>
    <row r="191">
      <c r="A191" s="247"/>
      <c r="B191" s="247"/>
      <c r="C191" s="247"/>
      <c r="D191" s="238"/>
      <c r="E191" s="254"/>
      <c r="F191" s="255"/>
      <c r="G191" s="238"/>
      <c r="H191" s="247"/>
      <c r="I191" s="238"/>
      <c r="J191" s="247"/>
      <c r="K191" s="247"/>
      <c r="L191" s="247"/>
      <c r="M191" s="238"/>
      <c r="N191" s="238"/>
      <c r="O191" s="251"/>
      <c r="P191" s="247"/>
      <c r="Q191" s="247"/>
      <c r="R191" s="238"/>
      <c r="S191" s="238"/>
      <c r="T191" s="238"/>
      <c r="U191" s="238"/>
      <c r="V191" s="238"/>
      <c r="W191" s="238"/>
      <c r="X191" s="238"/>
      <c r="Y191" s="238"/>
      <c r="Z191" s="238"/>
    </row>
    <row r="192">
      <c r="A192" s="247"/>
      <c r="B192" s="247"/>
      <c r="C192" s="247"/>
      <c r="D192" s="238"/>
      <c r="E192" s="254"/>
      <c r="F192" s="255"/>
      <c r="G192" s="238"/>
      <c r="H192" s="247"/>
      <c r="I192" s="238"/>
      <c r="J192" s="247"/>
      <c r="K192" s="247"/>
      <c r="L192" s="247"/>
      <c r="M192" s="238"/>
      <c r="N192" s="238"/>
      <c r="O192" s="251"/>
      <c r="P192" s="247"/>
      <c r="Q192" s="247"/>
      <c r="R192" s="238"/>
      <c r="S192" s="238"/>
      <c r="T192" s="238"/>
      <c r="U192" s="238"/>
      <c r="V192" s="238"/>
      <c r="W192" s="238"/>
      <c r="X192" s="238"/>
      <c r="Y192" s="238"/>
      <c r="Z192" s="238"/>
    </row>
    <row r="193">
      <c r="A193" s="247"/>
      <c r="B193" s="247"/>
      <c r="C193" s="247"/>
      <c r="D193" s="238"/>
      <c r="E193" s="254"/>
      <c r="F193" s="255"/>
      <c r="G193" s="238"/>
      <c r="H193" s="247"/>
      <c r="I193" s="238"/>
      <c r="J193" s="247"/>
      <c r="K193" s="247"/>
      <c r="L193" s="247"/>
      <c r="M193" s="238"/>
      <c r="N193" s="238"/>
      <c r="O193" s="251"/>
      <c r="P193" s="247"/>
      <c r="Q193" s="247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>
      <c r="A194" s="247"/>
      <c r="B194" s="247"/>
      <c r="C194" s="247"/>
      <c r="D194" s="238"/>
      <c r="E194" s="254"/>
      <c r="F194" s="255"/>
      <c r="G194" s="238"/>
      <c r="H194" s="247"/>
      <c r="I194" s="238"/>
      <c r="J194" s="247"/>
      <c r="K194" s="247"/>
      <c r="L194" s="247"/>
      <c r="M194" s="238"/>
      <c r="N194" s="238"/>
      <c r="O194" s="251"/>
      <c r="P194" s="247"/>
      <c r="Q194" s="247"/>
      <c r="R194" s="238"/>
      <c r="S194" s="238"/>
      <c r="T194" s="238"/>
      <c r="U194" s="238"/>
      <c r="V194" s="238"/>
      <c r="W194" s="238"/>
      <c r="X194" s="238"/>
      <c r="Y194" s="238"/>
      <c r="Z194" s="238"/>
    </row>
    <row r="195">
      <c r="A195" s="247"/>
      <c r="B195" s="247"/>
      <c r="C195" s="247"/>
      <c r="D195" s="238"/>
      <c r="E195" s="254"/>
      <c r="F195" s="255"/>
      <c r="G195" s="238"/>
      <c r="H195" s="247"/>
      <c r="I195" s="238"/>
      <c r="J195" s="247"/>
      <c r="K195" s="247"/>
      <c r="L195" s="247"/>
      <c r="M195" s="238"/>
      <c r="N195" s="238"/>
      <c r="O195" s="251"/>
      <c r="P195" s="247"/>
      <c r="Q195" s="247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>
      <c r="A196" s="247"/>
      <c r="B196" s="247"/>
      <c r="C196" s="247"/>
      <c r="D196" s="238"/>
      <c r="E196" s="254"/>
      <c r="F196" s="255"/>
      <c r="G196" s="238"/>
      <c r="H196" s="247"/>
      <c r="I196" s="238"/>
      <c r="J196" s="247"/>
      <c r="K196" s="247"/>
      <c r="L196" s="247"/>
      <c r="M196" s="238"/>
      <c r="N196" s="238"/>
      <c r="O196" s="251"/>
      <c r="P196" s="247"/>
      <c r="Q196" s="247"/>
      <c r="R196" s="238"/>
      <c r="S196" s="238"/>
      <c r="T196" s="238"/>
      <c r="U196" s="238"/>
      <c r="V196" s="238"/>
      <c r="W196" s="238"/>
      <c r="X196" s="238"/>
      <c r="Y196" s="238"/>
      <c r="Z196" s="238"/>
    </row>
    <row r="197">
      <c r="A197" s="247"/>
      <c r="B197" s="247"/>
      <c r="C197" s="247"/>
      <c r="D197" s="238"/>
      <c r="E197" s="254"/>
      <c r="F197" s="255"/>
      <c r="G197" s="238"/>
      <c r="H197" s="247"/>
      <c r="I197" s="238"/>
      <c r="J197" s="247"/>
      <c r="K197" s="247"/>
      <c r="L197" s="247"/>
      <c r="M197" s="238"/>
      <c r="N197" s="238"/>
      <c r="O197" s="251"/>
      <c r="P197" s="247"/>
      <c r="Q197" s="247"/>
      <c r="R197" s="238"/>
      <c r="S197" s="238"/>
      <c r="T197" s="238"/>
      <c r="U197" s="238"/>
      <c r="V197" s="238"/>
      <c r="W197" s="238"/>
      <c r="X197" s="238"/>
      <c r="Y197" s="238"/>
      <c r="Z197" s="238"/>
    </row>
    <row r="198">
      <c r="A198" s="247"/>
      <c r="B198" s="247"/>
      <c r="C198" s="247"/>
      <c r="D198" s="238"/>
      <c r="E198" s="254"/>
      <c r="F198" s="255"/>
      <c r="G198" s="238"/>
      <c r="H198" s="247"/>
      <c r="I198" s="238"/>
      <c r="J198" s="247"/>
      <c r="K198" s="247"/>
      <c r="L198" s="247"/>
      <c r="M198" s="238"/>
      <c r="N198" s="238"/>
      <c r="O198" s="251"/>
      <c r="P198" s="247"/>
      <c r="Q198" s="247"/>
      <c r="R198" s="238"/>
      <c r="S198" s="238"/>
      <c r="T198" s="238"/>
      <c r="U198" s="238"/>
      <c r="V198" s="238"/>
      <c r="W198" s="238"/>
      <c r="X198" s="238"/>
      <c r="Y198" s="238"/>
      <c r="Z198" s="238"/>
    </row>
    <row r="199">
      <c r="A199" s="247"/>
      <c r="B199" s="247"/>
      <c r="C199" s="247"/>
      <c r="D199" s="238"/>
      <c r="E199" s="254"/>
      <c r="F199" s="255"/>
      <c r="G199" s="238"/>
      <c r="H199" s="247"/>
      <c r="I199" s="238"/>
      <c r="J199" s="247"/>
      <c r="K199" s="247"/>
      <c r="L199" s="247"/>
      <c r="M199" s="238"/>
      <c r="N199" s="238"/>
      <c r="O199" s="251"/>
      <c r="P199" s="247"/>
      <c r="Q199" s="247"/>
      <c r="R199" s="238"/>
      <c r="S199" s="238"/>
      <c r="T199" s="238"/>
      <c r="U199" s="238"/>
      <c r="V199" s="238"/>
      <c r="W199" s="238"/>
      <c r="X199" s="238"/>
      <c r="Y199" s="238"/>
      <c r="Z199" s="238"/>
    </row>
    <row r="200">
      <c r="A200" s="247"/>
      <c r="B200" s="247"/>
      <c r="C200" s="247"/>
      <c r="D200" s="238"/>
      <c r="E200" s="254"/>
      <c r="F200" s="255"/>
      <c r="G200" s="238"/>
      <c r="H200" s="247"/>
      <c r="I200" s="238"/>
      <c r="J200" s="247"/>
      <c r="K200" s="247"/>
      <c r="L200" s="247"/>
      <c r="M200" s="238"/>
      <c r="N200" s="238"/>
      <c r="O200" s="251"/>
      <c r="P200" s="247"/>
      <c r="Q200" s="247"/>
      <c r="R200" s="238"/>
      <c r="S200" s="238"/>
      <c r="T200" s="238"/>
      <c r="U200" s="238"/>
      <c r="V200" s="238"/>
      <c r="W200" s="238"/>
      <c r="X200" s="238"/>
      <c r="Y200" s="238"/>
      <c r="Z200" s="238"/>
    </row>
    <row r="201">
      <c r="A201" s="247"/>
      <c r="B201" s="247"/>
      <c r="C201" s="247"/>
      <c r="D201" s="238"/>
      <c r="E201" s="254"/>
      <c r="F201" s="255"/>
      <c r="G201" s="238"/>
      <c r="H201" s="247"/>
      <c r="I201" s="238"/>
      <c r="J201" s="247"/>
      <c r="K201" s="247"/>
      <c r="L201" s="247"/>
      <c r="M201" s="238"/>
      <c r="N201" s="238"/>
      <c r="O201" s="251"/>
      <c r="P201" s="247"/>
      <c r="Q201" s="247"/>
      <c r="R201" s="238"/>
      <c r="S201" s="238"/>
      <c r="T201" s="238"/>
      <c r="U201" s="238"/>
      <c r="V201" s="238"/>
      <c r="W201" s="238"/>
      <c r="X201" s="238"/>
      <c r="Y201" s="238"/>
      <c r="Z201" s="238"/>
    </row>
    <row r="202">
      <c r="A202" s="247"/>
      <c r="B202" s="247"/>
      <c r="C202" s="247"/>
      <c r="D202" s="238"/>
      <c r="E202" s="254"/>
      <c r="F202" s="255"/>
      <c r="G202" s="238"/>
      <c r="H202" s="247"/>
      <c r="I202" s="238"/>
      <c r="J202" s="247"/>
      <c r="K202" s="247"/>
      <c r="L202" s="247"/>
      <c r="M202" s="238"/>
      <c r="N202" s="238"/>
      <c r="O202" s="251"/>
      <c r="P202" s="247"/>
      <c r="Q202" s="247"/>
      <c r="R202" s="238"/>
      <c r="S202" s="238"/>
      <c r="T202" s="238"/>
      <c r="U202" s="238"/>
      <c r="V202" s="238"/>
      <c r="W202" s="238"/>
      <c r="X202" s="238"/>
      <c r="Y202" s="238"/>
      <c r="Z202" s="238"/>
    </row>
    <row r="203">
      <c r="A203" s="247"/>
      <c r="B203" s="247"/>
      <c r="C203" s="247"/>
      <c r="D203" s="238"/>
      <c r="E203" s="254"/>
      <c r="F203" s="255"/>
      <c r="G203" s="238"/>
      <c r="H203" s="247"/>
      <c r="I203" s="238"/>
      <c r="J203" s="247"/>
      <c r="K203" s="247"/>
      <c r="L203" s="247"/>
      <c r="M203" s="238"/>
      <c r="N203" s="238"/>
      <c r="O203" s="251"/>
      <c r="P203" s="247"/>
      <c r="Q203" s="247"/>
      <c r="R203" s="238"/>
      <c r="S203" s="238"/>
      <c r="T203" s="238"/>
      <c r="U203" s="238"/>
      <c r="V203" s="238"/>
      <c r="W203" s="238"/>
      <c r="X203" s="238"/>
      <c r="Y203" s="238"/>
      <c r="Z203" s="238"/>
    </row>
    <row r="204">
      <c r="A204" s="247"/>
      <c r="B204" s="247"/>
      <c r="C204" s="247"/>
      <c r="D204" s="238"/>
      <c r="E204" s="254"/>
      <c r="F204" s="255"/>
      <c r="G204" s="238"/>
      <c r="H204" s="247"/>
      <c r="I204" s="238"/>
      <c r="J204" s="247"/>
      <c r="K204" s="247"/>
      <c r="L204" s="247"/>
      <c r="M204" s="238"/>
      <c r="N204" s="238"/>
      <c r="O204" s="251"/>
      <c r="P204" s="247"/>
      <c r="Q204" s="247"/>
      <c r="R204" s="238"/>
      <c r="S204" s="238"/>
      <c r="T204" s="238"/>
      <c r="U204" s="238"/>
      <c r="V204" s="238"/>
      <c r="W204" s="238"/>
      <c r="X204" s="238"/>
      <c r="Y204" s="238"/>
      <c r="Z204" s="238"/>
    </row>
    <row r="205">
      <c r="A205" s="247"/>
      <c r="B205" s="247"/>
      <c r="C205" s="247"/>
      <c r="D205" s="238"/>
      <c r="E205" s="254"/>
      <c r="F205" s="255"/>
      <c r="G205" s="238"/>
      <c r="H205" s="247"/>
      <c r="I205" s="238"/>
      <c r="J205" s="247"/>
      <c r="K205" s="247"/>
      <c r="L205" s="247"/>
      <c r="M205" s="238"/>
      <c r="N205" s="238"/>
      <c r="O205" s="251"/>
      <c r="P205" s="247"/>
      <c r="Q205" s="247"/>
      <c r="R205" s="238"/>
      <c r="S205" s="238"/>
      <c r="T205" s="238"/>
      <c r="U205" s="238"/>
      <c r="V205" s="238"/>
      <c r="W205" s="238"/>
      <c r="X205" s="238"/>
      <c r="Y205" s="238"/>
      <c r="Z205" s="238"/>
    </row>
    <row r="206">
      <c r="A206" s="247"/>
      <c r="B206" s="247"/>
      <c r="C206" s="247"/>
      <c r="D206" s="238"/>
      <c r="E206" s="254"/>
      <c r="F206" s="255"/>
      <c r="G206" s="238"/>
      <c r="H206" s="247"/>
      <c r="I206" s="238"/>
      <c r="J206" s="247"/>
      <c r="K206" s="247"/>
      <c r="L206" s="247"/>
      <c r="M206" s="238"/>
      <c r="N206" s="238"/>
      <c r="O206" s="251"/>
      <c r="P206" s="247"/>
      <c r="Q206" s="247"/>
      <c r="R206" s="238"/>
      <c r="S206" s="238"/>
      <c r="T206" s="238"/>
      <c r="U206" s="238"/>
      <c r="V206" s="238"/>
      <c r="W206" s="238"/>
      <c r="X206" s="238"/>
      <c r="Y206" s="238"/>
      <c r="Z206" s="238"/>
    </row>
    <row r="207">
      <c r="A207" s="247"/>
      <c r="B207" s="247"/>
      <c r="C207" s="247"/>
      <c r="D207" s="238"/>
      <c r="E207" s="254"/>
      <c r="F207" s="255"/>
      <c r="G207" s="238"/>
      <c r="H207" s="247"/>
      <c r="I207" s="238"/>
      <c r="J207" s="247"/>
      <c r="K207" s="247"/>
      <c r="L207" s="247"/>
      <c r="M207" s="238"/>
      <c r="N207" s="238"/>
      <c r="O207" s="251"/>
      <c r="P207" s="247"/>
      <c r="Q207" s="247"/>
      <c r="R207" s="238"/>
      <c r="S207" s="238"/>
      <c r="T207" s="238"/>
      <c r="U207" s="238"/>
      <c r="V207" s="238"/>
      <c r="W207" s="238"/>
      <c r="X207" s="238"/>
      <c r="Y207" s="238"/>
      <c r="Z207" s="238"/>
    </row>
    <row r="208">
      <c r="A208" s="247"/>
      <c r="B208" s="247"/>
      <c r="C208" s="247"/>
      <c r="D208" s="238"/>
      <c r="E208" s="254"/>
      <c r="F208" s="255"/>
      <c r="G208" s="238"/>
      <c r="H208" s="247"/>
      <c r="I208" s="238"/>
      <c r="J208" s="247"/>
      <c r="K208" s="247"/>
      <c r="L208" s="247"/>
      <c r="M208" s="238"/>
      <c r="N208" s="238"/>
      <c r="O208" s="251"/>
      <c r="P208" s="247"/>
      <c r="Q208" s="247"/>
      <c r="R208" s="238"/>
      <c r="S208" s="238"/>
      <c r="T208" s="238"/>
      <c r="U208" s="238"/>
      <c r="V208" s="238"/>
      <c r="W208" s="238"/>
      <c r="X208" s="238"/>
      <c r="Y208" s="238"/>
      <c r="Z208" s="238"/>
    </row>
    <row r="209">
      <c r="A209" s="247"/>
      <c r="B209" s="247"/>
      <c r="C209" s="247"/>
      <c r="D209" s="238"/>
      <c r="E209" s="254"/>
      <c r="F209" s="255"/>
      <c r="G209" s="238"/>
      <c r="H209" s="247"/>
      <c r="I209" s="238"/>
      <c r="J209" s="247"/>
      <c r="K209" s="247"/>
      <c r="L209" s="247"/>
      <c r="M209" s="238"/>
      <c r="N209" s="238"/>
      <c r="O209" s="251"/>
      <c r="P209" s="247"/>
      <c r="Q209" s="247"/>
      <c r="R209" s="238"/>
      <c r="S209" s="238"/>
      <c r="T209" s="238"/>
      <c r="U209" s="238"/>
      <c r="V209" s="238"/>
      <c r="W209" s="238"/>
      <c r="X209" s="238"/>
      <c r="Y209" s="238"/>
      <c r="Z209" s="238"/>
    </row>
    <row r="210">
      <c r="A210" s="247"/>
      <c r="B210" s="247"/>
      <c r="C210" s="247"/>
      <c r="D210" s="238"/>
      <c r="E210" s="254"/>
      <c r="F210" s="255"/>
      <c r="G210" s="238"/>
      <c r="H210" s="247"/>
      <c r="I210" s="238"/>
      <c r="J210" s="247"/>
      <c r="K210" s="247"/>
      <c r="L210" s="247"/>
      <c r="M210" s="238"/>
      <c r="N210" s="238"/>
      <c r="O210" s="251"/>
      <c r="P210" s="247"/>
      <c r="Q210" s="247"/>
      <c r="R210" s="238"/>
      <c r="S210" s="238"/>
      <c r="T210" s="238"/>
      <c r="U210" s="238"/>
      <c r="V210" s="238"/>
      <c r="W210" s="238"/>
      <c r="X210" s="238"/>
      <c r="Y210" s="238"/>
      <c r="Z210" s="238"/>
    </row>
    <row r="211">
      <c r="A211" s="247"/>
      <c r="B211" s="247"/>
      <c r="C211" s="247"/>
      <c r="D211" s="238"/>
      <c r="E211" s="254"/>
      <c r="F211" s="255"/>
      <c r="G211" s="238"/>
      <c r="H211" s="247"/>
      <c r="I211" s="238"/>
      <c r="J211" s="247"/>
      <c r="K211" s="247"/>
      <c r="L211" s="247"/>
      <c r="M211" s="238"/>
      <c r="N211" s="238"/>
      <c r="O211" s="251"/>
      <c r="P211" s="247"/>
      <c r="Q211" s="247"/>
      <c r="R211" s="238"/>
      <c r="S211" s="238"/>
      <c r="T211" s="238"/>
      <c r="U211" s="238"/>
      <c r="V211" s="238"/>
      <c r="W211" s="238"/>
      <c r="X211" s="238"/>
      <c r="Y211" s="238"/>
      <c r="Z211" s="238"/>
    </row>
    <row r="212">
      <c r="A212" s="247"/>
      <c r="B212" s="247"/>
      <c r="C212" s="247"/>
      <c r="D212" s="238"/>
      <c r="E212" s="254"/>
      <c r="F212" s="255"/>
      <c r="G212" s="238"/>
      <c r="H212" s="247"/>
      <c r="I212" s="238"/>
      <c r="J212" s="247"/>
      <c r="K212" s="247"/>
      <c r="L212" s="247"/>
      <c r="M212" s="238"/>
      <c r="N212" s="238"/>
      <c r="O212" s="251"/>
      <c r="P212" s="247"/>
      <c r="Q212" s="247"/>
      <c r="R212" s="238"/>
      <c r="S212" s="238"/>
      <c r="T212" s="238"/>
      <c r="U212" s="238"/>
      <c r="V212" s="238"/>
      <c r="W212" s="238"/>
      <c r="X212" s="238"/>
      <c r="Y212" s="238"/>
      <c r="Z212" s="238"/>
    </row>
    <row r="213">
      <c r="A213" s="247"/>
      <c r="B213" s="247"/>
      <c r="C213" s="247"/>
      <c r="D213" s="238"/>
      <c r="E213" s="254"/>
      <c r="F213" s="255"/>
      <c r="G213" s="238"/>
      <c r="H213" s="247"/>
      <c r="I213" s="238"/>
      <c r="J213" s="247"/>
      <c r="K213" s="247"/>
      <c r="L213" s="247"/>
      <c r="M213" s="238"/>
      <c r="N213" s="238"/>
      <c r="O213" s="251"/>
      <c r="P213" s="247"/>
      <c r="Q213" s="247"/>
      <c r="R213" s="238"/>
      <c r="S213" s="238"/>
      <c r="T213" s="238"/>
      <c r="U213" s="238"/>
      <c r="V213" s="238"/>
      <c r="W213" s="238"/>
      <c r="X213" s="238"/>
      <c r="Y213" s="238"/>
      <c r="Z213" s="238"/>
    </row>
    <row r="214">
      <c r="A214" s="247"/>
      <c r="B214" s="247"/>
      <c r="C214" s="247"/>
      <c r="D214" s="238"/>
      <c r="E214" s="254"/>
      <c r="F214" s="255"/>
      <c r="G214" s="238"/>
      <c r="H214" s="247"/>
      <c r="I214" s="238"/>
      <c r="J214" s="247"/>
      <c r="K214" s="247"/>
      <c r="L214" s="247"/>
      <c r="M214" s="238"/>
      <c r="N214" s="238"/>
      <c r="O214" s="251"/>
      <c r="P214" s="247"/>
      <c r="Q214" s="247"/>
      <c r="R214" s="238"/>
      <c r="S214" s="238"/>
      <c r="T214" s="238"/>
      <c r="U214" s="238"/>
      <c r="V214" s="238"/>
      <c r="W214" s="238"/>
      <c r="X214" s="238"/>
      <c r="Y214" s="238"/>
      <c r="Z214" s="238"/>
    </row>
    <row r="215">
      <c r="A215" s="247"/>
      <c r="B215" s="247"/>
      <c r="C215" s="247"/>
      <c r="D215" s="238"/>
      <c r="E215" s="254"/>
      <c r="F215" s="255"/>
      <c r="G215" s="238"/>
      <c r="H215" s="247"/>
      <c r="I215" s="238"/>
      <c r="J215" s="247"/>
      <c r="K215" s="247"/>
      <c r="L215" s="247"/>
      <c r="M215" s="238"/>
      <c r="N215" s="238"/>
      <c r="O215" s="251"/>
      <c r="P215" s="247"/>
      <c r="Q215" s="247"/>
      <c r="R215" s="238"/>
      <c r="S215" s="238"/>
      <c r="T215" s="238"/>
      <c r="U215" s="238"/>
      <c r="V215" s="238"/>
      <c r="W215" s="238"/>
      <c r="X215" s="238"/>
      <c r="Y215" s="238"/>
      <c r="Z215" s="238"/>
    </row>
    <row r="216">
      <c r="A216" s="247"/>
      <c r="B216" s="247"/>
      <c r="C216" s="247"/>
      <c r="D216" s="238"/>
      <c r="E216" s="254"/>
      <c r="F216" s="255"/>
      <c r="G216" s="238"/>
      <c r="H216" s="247"/>
      <c r="I216" s="238"/>
      <c r="J216" s="247"/>
      <c r="K216" s="247"/>
      <c r="L216" s="247"/>
      <c r="M216" s="238"/>
      <c r="N216" s="238"/>
      <c r="O216" s="251"/>
      <c r="P216" s="247"/>
      <c r="Q216" s="247"/>
      <c r="R216" s="238"/>
      <c r="S216" s="238"/>
      <c r="T216" s="238"/>
      <c r="U216" s="238"/>
      <c r="V216" s="238"/>
      <c r="W216" s="238"/>
      <c r="X216" s="238"/>
      <c r="Y216" s="238"/>
      <c r="Z216" s="238"/>
    </row>
    <row r="217">
      <c r="A217" s="247"/>
      <c r="B217" s="247"/>
      <c r="C217" s="247"/>
      <c r="D217" s="238"/>
      <c r="E217" s="254"/>
      <c r="F217" s="255"/>
      <c r="G217" s="238"/>
      <c r="H217" s="247"/>
      <c r="I217" s="238"/>
      <c r="J217" s="247"/>
      <c r="K217" s="247"/>
      <c r="L217" s="247"/>
      <c r="M217" s="238"/>
      <c r="N217" s="238"/>
      <c r="O217" s="251"/>
      <c r="P217" s="247"/>
      <c r="Q217" s="247"/>
      <c r="R217" s="238"/>
      <c r="S217" s="238"/>
      <c r="T217" s="238"/>
      <c r="U217" s="238"/>
      <c r="V217" s="238"/>
      <c r="W217" s="238"/>
      <c r="X217" s="238"/>
      <c r="Y217" s="238"/>
      <c r="Z217" s="238"/>
    </row>
    <row r="218">
      <c r="A218" s="247"/>
      <c r="B218" s="247"/>
      <c r="C218" s="247"/>
      <c r="D218" s="238"/>
      <c r="E218" s="254"/>
      <c r="F218" s="255"/>
      <c r="G218" s="238"/>
      <c r="H218" s="247"/>
      <c r="I218" s="238"/>
      <c r="J218" s="247"/>
      <c r="K218" s="247"/>
      <c r="L218" s="247"/>
      <c r="M218" s="238"/>
      <c r="N218" s="238"/>
      <c r="O218" s="251"/>
      <c r="P218" s="247"/>
      <c r="Q218" s="247"/>
      <c r="R218" s="238"/>
      <c r="S218" s="238"/>
      <c r="T218" s="238"/>
      <c r="U218" s="238"/>
      <c r="V218" s="238"/>
      <c r="W218" s="238"/>
      <c r="X218" s="238"/>
      <c r="Y218" s="238"/>
      <c r="Z218" s="238"/>
    </row>
    <row r="219">
      <c r="A219" s="247"/>
      <c r="B219" s="247"/>
      <c r="C219" s="247"/>
      <c r="D219" s="238"/>
      <c r="E219" s="254"/>
      <c r="F219" s="255"/>
      <c r="G219" s="238"/>
      <c r="H219" s="247"/>
      <c r="I219" s="238"/>
      <c r="J219" s="247"/>
      <c r="K219" s="247"/>
      <c r="L219" s="247"/>
      <c r="M219" s="238"/>
      <c r="N219" s="238"/>
      <c r="O219" s="251"/>
      <c r="P219" s="247"/>
      <c r="Q219" s="247"/>
      <c r="R219" s="238"/>
      <c r="S219" s="238"/>
      <c r="T219" s="238"/>
      <c r="U219" s="238"/>
      <c r="V219" s="238"/>
      <c r="W219" s="238"/>
      <c r="X219" s="238"/>
      <c r="Y219" s="238"/>
      <c r="Z219" s="238"/>
    </row>
    <row r="220">
      <c r="A220" s="247"/>
      <c r="B220" s="247"/>
      <c r="C220" s="247"/>
      <c r="D220" s="238"/>
      <c r="E220" s="254"/>
      <c r="F220" s="255"/>
      <c r="G220" s="238"/>
      <c r="H220" s="247"/>
      <c r="I220" s="238"/>
      <c r="J220" s="247"/>
      <c r="K220" s="247"/>
      <c r="L220" s="247"/>
      <c r="M220" s="238"/>
      <c r="N220" s="238"/>
      <c r="O220" s="251"/>
      <c r="P220" s="247"/>
      <c r="Q220" s="247"/>
      <c r="R220" s="238"/>
      <c r="S220" s="238"/>
      <c r="T220" s="238"/>
      <c r="U220" s="238"/>
      <c r="V220" s="238"/>
      <c r="W220" s="238"/>
      <c r="X220" s="238"/>
      <c r="Y220" s="238"/>
      <c r="Z220" s="238"/>
    </row>
    <row r="221">
      <c r="A221" s="247"/>
      <c r="B221" s="247"/>
      <c r="C221" s="247"/>
      <c r="D221" s="238"/>
      <c r="E221" s="254"/>
      <c r="F221" s="255"/>
      <c r="G221" s="238"/>
      <c r="H221" s="247"/>
      <c r="I221" s="238"/>
      <c r="J221" s="247"/>
      <c r="K221" s="247"/>
      <c r="L221" s="247"/>
      <c r="M221" s="238"/>
      <c r="N221" s="238"/>
      <c r="O221" s="251"/>
      <c r="P221" s="247"/>
      <c r="Q221" s="247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>
      <c r="A222" s="247"/>
      <c r="B222" s="247"/>
      <c r="C222" s="247"/>
      <c r="D222" s="238"/>
      <c r="E222" s="254"/>
      <c r="F222" s="255"/>
      <c r="G222" s="238"/>
      <c r="H222" s="247"/>
      <c r="I222" s="238"/>
      <c r="J222" s="247"/>
      <c r="K222" s="247"/>
      <c r="L222" s="247"/>
      <c r="M222" s="238"/>
      <c r="N222" s="238"/>
      <c r="O222" s="251"/>
      <c r="P222" s="247"/>
      <c r="Q222" s="247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>
      <c r="A223" s="247"/>
      <c r="B223" s="247"/>
      <c r="C223" s="247"/>
      <c r="D223" s="238"/>
      <c r="E223" s="254"/>
      <c r="F223" s="255"/>
      <c r="G223" s="238"/>
      <c r="H223" s="247"/>
      <c r="I223" s="238"/>
      <c r="J223" s="247"/>
      <c r="K223" s="247"/>
      <c r="L223" s="247"/>
      <c r="M223" s="238"/>
      <c r="N223" s="238"/>
      <c r="O223" s="251"/>
      <c r="P223" s="247"/>
      <c r="Q223" s="247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>
      <c r="A224" s="247"/>
      <c r="B224" s="247"/>
      <c r="C224" s="247"/>
      <c r="D224" s="238"/>
      <c r="E224" s="254"/>
      <c r="F224" s="255"/>
      <c r="G224" s="238"/>
      <c r="H224" s="247"/>
      <c r="I224" s="238"/>
      <c r="J224" s="247"/>
      <c r="K224" s="247"/>
      <c r="L224" s="247"/>
      <c r="M224" s="238"/>
      <c r="N224" s="238"/>
      <c r="O224" s="251"/>
      <c r="P224" s="247"/>
      <c r="Q224" s="247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>
      <c r="A225" s="247"/>
      <c r="B225" s="247"/>
      <c r="C225" s="247"/>
      <c r="D225" s="238"/>
      <c r="E225" s="254"/>
      <c r="F225" s="255"/>
      <c r="G225" s="238"/>
      <c r="H225" s="247"/>
      <c r="I225" s="238"/>
      <c r="J225" s="247"/>
      <c r="K225" s="247"/>
      <c r="L225" s="247"/>
      <c r="M225" s="238"/>
      <c r="N225" s="238"/>
      <c r="O225" s="251"/>
      <c r="P225" s="247"/>
      <c r="Q225" s="247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>
      <c r="A226" s="247"/>
      <c r="B226" s="247"/>
      <c r="C226" s="247"/>
      <c r="D226" s="238"/>
      <c r="E226" s="254"/>
      <c r="F226" s="255"/>
      <c r="G226" s="238"/>
      <c r="H226" s="247"/>
      <c r="I226" s="238"/>
      <c r="J226" s="247"/>
      <c r="K226" s="247"/>
      <c r="L226" s="247"/>
      <c r="M226" s="238"/>
      <c r="N226" s="238"/>
      <c r="O226" s="251"/>
      <c r="P226" s="247"/>
      <c r="Q226" s="247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>
      <c r="A227" s="247"/>
      <c r="B227" s="247"/>
      <c r="C227" s="247"/>
      <c r="D227" s="238"/>
      <c r="E227" s="254"/>
      <c r="F227" s="255"/>
      <c r="G227" s="238"/>
      <c r="H227" s="247"/>
      <c r="I227" s="238"/>
      <c r="J227" s="247"/>
      <c r="K227" s="247"/>
      <c r="L227" s="247"/>
      <c r="M227" s="238"/>
      <c r="N227" s="238"/>
      <c r="O227" s="251"/>
      <c r="P227" s="247"/>
      <c r="Q227" s="247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>
      <c r="A228" s="247"/>
      <c r="B228" s="247"/>
      <c r="C228" s="247"/>
      <c r="D228" s="238"/>
      <c r="E228" s="254"/>
      <c r="F228" s="255"/>
      <c r="G228" s="238"/>
      <c r="H228" s="247"/>
      <c r="I228" s="238"/>
      <c r="J228" s="247"/>
      <c r="K228" s="247"/>
      <c r="L228" s="247"/>
      <c r="M228" s="238"/>
      <c r="N228" s="238"/>
      <c r="O228" s="251"/>
      <c r="P228" s="247"/>
      <c r="Q228" s="247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>
      <c r="A229" s="247"/>
      <c r="B229" s="247"/>
      <c r="C229" s="247"/>
      <c r="D229" s="238"/>
      <c r="E229" s="254"/>
      <c r="F229" s="255"/>
      <c r="G229" s="238"/>
      <c r="H229" s="247"/>
      <c r="I229" s="238"/>
      <c r="J229" s="247"/>
      <c r="K229" s="247"/>
      <c r="L229" s="247"/>
      <c r="M229" s="238"/>
      <c r="N229" s="238"/>
      <c r="O229" s="251"/>
      <c r="P229" s="247"/>
      <c r="Q229" s="247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>
      <c r="A230" s="247"/>
      <c r="B230" s="247"/>
      <c r="C230" s="247"/>
      <c r="D230" s="238"/>
      <c r="E230" s="254"/>
      <c r="F230" s="255"/>
      <c r="G230" s="238"/>
      <c r="H230" s="247"/>
      <c r="I230" s="238"/>
      <c r="J230" s="247"/>
      <c r="K230" s="247"/>
      <c r="L230" s="247"/>
      <c r="M230" s="238"/>
      <c r="N230" s="238"/>
      <c r="O230" s="251"/>
      <c r="P230" s="247"/>
      <c r="Q230" s="247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>
      <c r="A231" s="247"/>
      <c r="B231" s="247"/>
      <c r="C231" s="247"/>
      <c r="D231" s="238"/>
      <c r="E231" s="254"/>
      <c r="F231" s="255"/>
      <c r="G231" s="238"/>
      <c r="H231" s="247"/>
      <c r="I231" s="238"/>
      <c r="J231" s="247"/>
      <c r="K231" s="247"/>
      <c r="L231" s="247"/>
      <c r="M231" s="238"/>
      <c r="N231" s="238"/>
      <c r="O231" s="251"/>
      <c r="P231" s="247"/>
      <c r="Q231" s="247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>
      <c r="A232" s="247"/>
      <c r="B232" s="247"/>
      <c r="C232" s="247"/>
      <c r="D232" s="238"/>
      <c r="E232" s="254"/>
      <c r="F232" s="255"/>
      <c r="G232" s="238"/>
      <c r="H232" s="247"/>
      <c r="I232" s="238"/>
      <c r="J232" s="247"/>
      <c r="K232" s="247"/>
      <c r="L232" s="247"/>
      <c r="M232" s="238"/>
      <c r="N232" s="238"/>
      <c r="O232" s="251"/>
      <c r="P232" s="247"/>
      <c r="Q232" s="247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>
      <c r="A233" s="247"/>
      <c r="B233" s="247"/>
      <c r="C233" s="247"/>
      <c r="D233" s="238"/>
      <c r="E233" s="254"/>
      <c r="F233" s="255"/>
      <c r="G233" s="238"/>
      <c r="H233" s="247"/>
      <c r="I233" s="238"/>
      <c r="J233" s="247"/>
      <c r="K233" s="247"/>
      <c r="L233" s="247"/>
      <c r="M233" s="238"/>
      <c r="N233" s="238"/>
      <c r="O233" s="251"/>
      <c r="P233" s="247"/>
      <c r="Q233" s="247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>
      <c r="A234" s="247"/>
      <c r="B234" s="247"/>
      <c r="C234" s="247"/>
      <c r="D234" s="238"/>
      <c r="E234" s="254"/>
      <c r="F234" s="255"/>
      <c r="G234" s="238"/>
      <c r="H234" s="247"/>
      <c r="I234" s="238"/>
      <c r="J234" s="247"/>
      <c r="K234" s="247"/>
      <c r="L234" s="247"/>
      <c r="M234" s="238"/>
      <c r="N234" s="238"/>
      <c r="O234" s="251"/>
      <c r="P234" s="247"/>
      <c r="Q234" s="247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>
      <c r="A235" s="247"/>
      <c r="B235" s="247"/>
      <c r="C235" s="247"/>
      <c r="D235" s="238"/>
      <c r="E235" s="254"/>
      <c r="F235" s="255"/>
      <c r="G235" s="238"/>
      <c r="H235" s="247"/>
      <c r="I235" s="238"/>
      <c r="J235" s="247"/>
      <c r="K235" s="247"/>
      <c r="L235" s="247"/>
      <c r="M235" s="238"/>
      <c r="N235" s="238"/>
      <c r="O235" s="251"/>
      <c r="P235" s="247"/>
      <c r="Q235" s="247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>
      <c r="A236" s="247"/>
      <c r="B236" s="247"/>
      <c r="C236" s="247"/>
      <c r="D236" s="238"/>
      <c r="E236" s="254"/>
      <c r="F236" s="255"/>
      <c r="G236" s="238"/>
      <c r="H236" s="247"/>
      <c r="I236" s="238"/>
      <c r="J236" s="247"/>
      <c r="K236" s="247"/>
      <c r="L236" s="247"/>
      <c r="M236" s="238"/>
      <c r="N236" s="238"/>
      <c r="O236" s="251"/>
      <c r="P236" s="247"/>
      <c r="Q236" s="247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>
      <c r="A237" s="247"/>
      <c r="B237" s="247"/>
      <c r="C237" s="247"/>
      <c r="D237" s="238"/>
      <c r="E237" s="254"/>
      <c r="F237" s="255"/>
      <c r="G237" s="238"/>
      <c r="H237" s="247"/>
      <c r="I237" s="238"/>
      <c r="J237" s="247"/>
      <c r="K237" s="247"/>
      <c r="L237" s="247"/>
      <c r="M237" s="238"/>
      <c r="N237" s="238"/>
      <c r="O237" s="251"/>
      <c r="P237" s="247"/>
      <c r="Q237" s="247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>
      <c r="A238" s="247"/>
      <c r="B238" s="247"/>
      <c r="C238" s="247"/>
      <c r="D238" s="238"/>
      <c r="E238" s="254"/>
      <c r="F238" s="255"/>
      <c r="G238" s="238"/>
      <c r="H238" s="247"/>
      <c r="I238" s="238"/>
      <c r="J238" s="247"/>
      <c r="K238" s="247"/>
      <c r="L238" s="247"/>
      <c r="M238" s="238"/>
      <c r="N238" s="238"/>
      <c r="O238" s="251"/>
      <c r="P238" s="247"/>
      <c r="Q238" s="247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>
      <c r="A239" s="247"/>
      <c r="B239" s="247"/>
      <c r="C239" s="247"/>
      <c r="D239" s="238"/>
      <c r="E239" s="254"/>
      <c r="F239" s="255"/>
      <c r="G239" s="238"/>
      <c r="H239" s="247"/>
      <c r="I239" s="238"/>
      <c r="J239" s="247"/>
      <c r="K239" s="247"/>
      <c r="L239" s="247"/>
      <c r="M239" s="238"/>
      <c r="N239" s="238"/>
      <c r="O239" s="251"/>
      <c r="P239" s="247"/>
      <c r="Q239" s="247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>
      <c r="A240" s="247"/>
      <c r="B240" s="247"/>
      <c r="C240" s="247"/>
      <c r="D240" s="238"/>
      <c r="E240" s="254"/>
      <c r="F240" s="255"/>
      <c r="G240" s="238"/>
      <c r="H240" s="247"/>
      <c r="I240" s="238"/>
      <c r="J240" s="247"/>
      <c r="K240" s="247"/>
      <c r="L240" s="247"/>
      <c r="M240" s="238"/>
      <c r="N240" s="238"/>
      <c r="O240" s="251"/>
      <c r="P240" s="247"/>
      <c r="Q240" s="247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>
      <c r="A241" s="247"/>
      <c r="B241" s="247"/>
      <c r="C241" s="247"/>
      <c r="D241" s="238"/>
      <c r="E241" s="254"/>
      <c r="F241" s="255"/>
      <c r="G241" s="238"/>
      <c r="H241" s="247"/>
      <c r="I241" s="238"/>
      <c r="J241" s="247"/>
      <c r="K241" s="247"/>
      <c r="L241" s="247"/>
      <c r="M241" s="238"/>
      <c r="N241" s="238"/>
      <c r="O241" s="251"/>
      <c r="P241" s="247"/>
      <c r="Q241" s="247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>
      <c r="A242" s="247"/>
      <c r="B242" s="247"/>
      <c r="C242" s="247"/>
      <c r="D242" s="238"/>
      <c r="E242" s="254"/>
      <c r="F242" s="255"/>
      <c r="G242" s="238"/>
      <c r="H242" s="247"/>
      <c r="I242" s="238"/>
      <c r="J242" s="247"/>
      <c r="K242" s="247"/>
      <c r="L242" s="247"/>
      <c r="M242" s="238"/>
      <c r="N242" s="238"/>
      <c r="O242" s="251"/>
      <c r="P242" s="247"/>
      <c r="Q242" s="247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>
      <c r="A243" s="247"/>
      <c r="B243" s="247"/>
      <c r="C243" s="247"/>
      <c r="D243" s="238"/>
      <c r="E243" s="254"/>
      <c r="F243" s="255"/>
      <c r="G243" s="238"/>
      <c r="H243" s="247"/>
      <c r="I243" s="238"/>
      <c r="J243" s="247"/>
      <c r="K243" s="247"/>
      <c r="L243" s="247"/>
      <c r="M243" s="238"/>
      <c r="N243" s="238"/>
      <c r="O243" s="251"/>
      <c r="P243" s="247"/>
      <c r="Q243" s="247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>
      <c r="A244" s="247"/>
      <c r="B244" s="247"/>
      <c r="C244" s="247"/>
      <c r="D244" s="238"/>
      <c r="E244" s="254"/>
      <c r="F244" s="255"/>
      <c r="G244" s="238"/>
      <c r="H244" s="247"/>
      <c r="I244" s="238"/>
      <c r="J244" s="247"/>
      <c r="K244" s="247"/>
      <c r="L244" s="247"/>
      <c r="M244" s="238"/>
      <c r="N244" s="238"/>
      <c r="O244" s="251"/>
      <c r="P244" s="247"/>
      <c r="Q244" s="247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>
      <c r="A245" s="247"/>
      <c r="B245" s="247"/>
      <c r="C245" s="247"/>
      <c r="D245" s="238"/>
      <c r="E245" s="254"/>
      <c r="F245" s="255"/>
      <c r="G245" s="238"/>
      <c r="H245" s="247"/>
      <c r="I245" s="238"/>
      <c r="J245" s="247"/>
      <c r="K245" s="247"/>
      <c r="L245" s="247"/>
      <c r="M245" s="238"/>
      <c r="N245" s="238"/>
      <c r="O245" s="251"/>
      <c r="P245" s="247"/>
      <c r="Q245" s="247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>
      <c r="A246" s="247"/>
      <c r="B246" s="247"/>
      <c r="C246" s="247"/>
      <c r="D246" s="238"/>
      <c r="E246" s="254"/>
      <c r="F246" s="255"/>
      <c r="G246" s="238"/>
      <c r="H246" s="247"/>
      <c r="I246" s="238"/>
      <c r="J246" s="247"/>
      <c r="K246" s="247"/>
      <c r="L246" s="247"/>
      <c r="M246" s="238"/>
      <c r="N246" s="238"/>
      <c r="O246" s="251"/>
      <c r="P246" s="247"/>
      <c r="Q246" s="247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>
      <c r="A247" s="247"/>
      <c r="B247" s="247"/>
      <c r="C247" s="247"/>
      <c r="D247" s="238"/>
      <c r="E247" s="254"/>
      <c r="F247" s="255"/>
      <c r="G247" s="238"/>
      <c r="H247" s="247"/>
      <c r="I247" s="238"/>
      <c r="J247" s="247"/>
      <c r="K247" s="247"/>
      <c r="L247" s="247"/>
      <c r="M247" s="238"/>
      <c r="N247" s="238"/>
      <c r="O247" s="251"/>
      <c r="P247" s="247"/>
      <c r="Q247" s="247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>
      <c r="A248" s="247"/>
      <c r="B248" s="247"/>
      <c r="C248" s="247"/>
      <c r="D248" s="238"/>
      <c r="E248" s="254"/>
      <c r="F248" s="255"/>
      <c r="G248" s="238"/>
      <c r="H248" s="247"/>
      <c r="I248" s="238"/>
      <c r="J248" s="247"/>
      <c r="K248" s="247"/>
      <c r="L248" s="247"/>
      <c r="M248" s="238"/>
      <c r="N248" s="238"/>
      <c r="O248" s="251"/>
      <c r="P248" s="247"/>
      <c r="Q248" s="247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>
      <c r="A249" s="247"/>
      <c r="B249" s="247"/>
      <c r="C249" s="247"/>
      <c r="D249" s="238"/>
      <c r="E249" s="254"/>
      <c r="F249" s="255"/>
      <c r="G249" s="238"/>
      <c r="H249" s="247"/>
      <c r="I249" s="238"/>
      <c r="J249" s="247"/>
      <c r="K249" s="247"/>
      <c r="L249" s="247"/>
      <c r="M249" s="238"/>
      <c r="N249" s="238"/>
      <c r="O249" s="251"/>
      <c r="P249" s="247"/>
      <c r="Q249" s="247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>
      <c r="A250" s="247"/>
      <c r="B250" s="247"/>
      <c r="C250" s="247"/>
      <c r="D250" s="238"/>
      <c r="E250" s="254"/>
      <c r="F250" s="255"/>
      <c r="G250" s="238"/>
      <c r="H250" s="247"/>
      <c r="I250" s="238"/>
      <c r="J250" s="247"/>
      <c r="K250" s="247"/>
      <c r="L250" s="247"/>
      <c r="M250" s="238"/>
      <c r="N250" s="238"/>
      <c r="O250" s="251"/>
      <c r="P250" s="247"/>
      <c r="Q250" s="247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>
      <c r="A251" s="247"/>
      <c r="B251" s="247"/>
      <c r="C251" s="247"/>
      <c r="D251" s="238"/>
      <c r="E251" s="254"/>
      <c r="F251" s="255"/>
      <c r="G251" s="238"/>
      <c r="H251" s="247"/>
      <c r="I251" s="238"/>
      <c r="J251" s="247"/>
      <c r="K251" s="247"/>
      <c r="L251" s="247"/>
      <c r="M251" s="238"/>
      <c r="N251" s="238"/>
      <c r="O251" s="251"/>
      <c r="P251" s="247"/>
      <c r="Q251" s="247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>
      <c r="A252" s="247"/>
      <c r="B252" s="247"/>
      <c r="C252" s="247"/>
      <c r="D252" s="238"/>
      <c r="E252" s="254"/>
      <c r="F252" s="255"/>
      <c r="G252" s="238"/>
      <c r="H252" s="247"/>
      <c r="I252" s="238"/>
      <c r="J252" s="247"/>
      <c r="K252" s="247"/>
      <c r="L252" s="247"/>
      <c r="M252" s="238"/>
      <c r="N252" s="238"/>
      <c r="O252" s="251"/>
      <c r="P252" s="247"/>
      <c r="Q252" s="247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>
      <c r="A253" s="247"/>
      <c r="B253" s="247"/>
      <c r="C253" s="247"/>
      <c r="D253" s="238"/>
      <c r="E253" s="254"/>
      <c r="F253" s="255"/>
      <c r="G253" s="238"/>
      <c r="H253" s="247"/>
      <c r="I253" s="238"/>
      <c r="J253" s="247"/>
      <c r="K253" s="247"/>
      <c r="L253" s="247"/>
      <c r="M253" s="238"/>
      <c r="N253" s="238"/>
      <c r="O253" s="251"/>
      <c r="P253" s="247"/>
      <c r="Q253" s="247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>
      <c r="A254" s="247"/>
      <c r="B254" s="247"/>
      <c r="C254" s="247"/>
      <c r="D254" s="238"/>
      <c r="E254" s="254"/>
      <c r="F254" s="255"/>
      <c r="G254" s="238"/>
      <c r="H254" s="247"/>
      <c r="I254" s="238"/>
      <c r="J254" s="247"/>
      <c r="K254" s="247"/>
      <c r="L254" s="247"/>
      <c r="M254" s="238"/>
      <c r="N254" s="238"/>
      <c r="O254" s="251"/>
      <c r="P254" s="247"/>
      <c r="Q254" s="247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>
      <c r="A255" s="247"/>
      <c r="B255" s="247"/>
      <c r="C255" s="247"/>
      <c r="D255" s="238"/>
      <c r="E255" s="254"/>
      <c r="F255" s="255"/>
      <c r="G255" s="238"/>
      <c r="H255" s="247"/>
      <c r="I255" s="238"/>
      <c r="J255" s="247"/>
      <c r="K255" s="247"/>
      <c r="L255" s="247"/>
      <c r="M255" s="238"/>
      <c r="N255" s="238"/>
      <c r="O255" s="251"/>
      <c r="P255" s="247"/>
      <c r="Q255" s="247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>
      <c r="A256" s="247"/>
      <c r="B256" s="247"/>
      <c r="C256" s="247"/>
      <c r="D256" s="238"/>
      <c r="E256" s="254"/>
      <c r="F256" s="255"/>
      <c r="G256" s="238"/>
      <c r="H256" s="247"/>
      <c r="I256" s="238"/>
      <c r="J256" s="247"/>
      <c r="K256" s="247"/>
      <c r="L256" s="247"/>
      <c r="M256" s="238"/>
      <c r="N256" s="238"/>
      <c r="O256" s="251"/>
      <c r="P256" s="247"/>
      <c r="Q256" s="247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>
      <c r="A257" s="247"/>
      <c r="B257" s="247"/>
      <c r="C257" s="247"/>
      <c r="D257" s="238"/>
      <c r="E257" s="254"/>
      <c r="F257" s="255"/>
      <c r="G257" s="238"/>
      <c r="H257" s="247"/>
      <c r="I257" s="238"/>
      <c r="J257" s="247"/>
      <c r="K257" s="247"/>
      <c r="L257" s="247"/>
      <c r="M257" s="238"/>
      <c r="N257" s="238"/>
      <c r="O257" s="251"/>
      <c r="P257" s="247"/>
      <c r="Q257" s="247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>
      <c r="A258" s="247"/>
      <c r="B258" s="247"/>
      <c r="C258" s="247"/>
      <c r="D258" s="238"/>
      <c r="E258" s="254"/>
      <c r="F258" s="255"/>
      <c r="G258" s="238"/>
      <c r="H258" s="247"/>
      <c r="I258" s="238"/>
      <c r="J258" s="247"/>
      <c r="K258" s="247"/>
      <c r="L258" s="247"/>
      <c r="M258" s="238"/>
      <c r="N258" s="238"/>
      <c r="O258" s="251"/>
      <c r="P258" s="247"/>
      <c r="Q258" s="247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>
      <c r="A259" s="247"/>
      <c r="B259" s="247"/>
      <c r="C259" s="247"/>
      <c r="D259" s="238"/>
      <c r="E259" s="254"/>
      <c r="F259" s="255"/>
      <c r="G259" s="238"/>
      <c r="H259" s="247"/>
      <c r="I259" s="238"/>
      <c r="J259" s="247"/>
      <c r="K259" s="247"/>
      <c r="L259" s="247"/>
      <c r="M259" s="238"/>
      <c r="N259" s="238"/>
      <c r="O259" s="251"/>
      <c r="P259" s="247"/>
      <c r="Q259" s="247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>
      <c r="A260" s="247"/>
      <c r="B260" s="247"/>
      <c r="C260" s="247"/>
      <c r="D260" s="238"/>
      <c r="E260" s="254"/>
      <c r="F260" s="255"/>
      <c r="G260" s="238"/>
      <c r="H260" s="247"/>
      <c r="I260" s="238"/>
      <c r="J260" s="247"/>
      <c r="K260" s="247"/>
      <c r="L260" s="247"/>
      <c r="M260" s="238"/>
      <c r="N260" s="238"/>
      <c r="O260" s="251"/>
      <c r="P260" s="247"/>
      <c r="Q260" s="247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>
      <c r="A261" s="247"/>
      <c r="B261" s="247"/>
      <c r="C261" s="247"/>
      <c r="D261" s="238"/>
      <c r="E261" s="254"/>
      <c r="F261" s="255"/>
      <c r="G261" s="238"/>
      <c r="H261" s="247"/>
      <c r="I261" s="238"/>
      <c r="J261" s="247"/>
      <c r="K261" s="247"/>
      <c r="L261" s="247"/>
      <c r="M261" s="238"/>
      <c r="N261" s="238"/>
      <c r="O261" s="251"/>
      <c r="P261" s="247"/>
      <c r="Q261" s="247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>
      <c r="A262" s="247"/>
      <c r="B262" s="247"/>
      <c r="C262" s="247"/>
      <c r="D262" s="238"/>
      <c r="E262" s="254"/>
      <c r="F262" s="255"/>
      <c r="G262" s="238"/>
      <c r="H262" s="247"/>
      <c r="I262" s="238"/>
      <c r="J262" s="247"/>
      <c r="K262" s="247"/>
      <c r="L262" s="247"/>
      <c r="M262" s="238"/>
      <c r="N262" s="238"/>
      <c r="O262" s="251"/>
      <c r="P262" s="247"/>
      <c r="Q262" s="247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>
      <c r="A263" s="247"/>
      <c r="B263" s="247"/>
      <c r="C263" s="247"/>
      <c r="D263" s="238"/>
      <c r="E263" s="254"/>
      <c r="F263" s="255"/>
      <c r="G263" s="238"/>
      <c r="H263" s="247"/>
      <c r="I263" s="238"/>
      <c r="J263" s="247"/>
      <c r="K263" s="247"/>
      <c r="L263" s="247"/>
      <c r="M263" s="238"/>
      <c r="N263" s="238"/>
      <c r="O263" s="251"/>
      <c r="P263" s="247"/>
      <c r="Q263" s="247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>
      <c r="A264" s="247"/>
      <c r="B264" s="247"/>
      <c r="C264" s="247"/>
      <c r="D264" s="238"/>
      <c r="E264" s="254"/>
      <c r="F264" s="255"/>
      <c r="G264" s="238"/>
      <c r="H264" s="247"/>
      <c r="I264" s="238"/>
      <c r="J264" s="247"/>
      <c r="K264" s="247"/>
      <c r="L264" s="247"/>
      <c r="M264" s="238"/>
      <c r="N264" s="238"/>
      <c r="O264" s="251"/>
      <c r="P264" s="247"/>
      <c r="Q264" s="247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>
      <c r="A265" s="247"/>
      <c r="B265" s="247"/>
      <c r="C265" s="247"/>
      <c r="D265" s="238"/>
      <c r="E265" s="254"/>
      <c r="F265" s="255"/>
      <c r="G265" s="238"/>
      <c r="H265" s="247"/>
      <c r="I265" s="238"/>
      <c r="J265" s="247"/>
      <c r="K265" s="247"/>
      <c r="L265" s="247"/>
      <c r="M265" s="238"/>
      <c r="N265" s="238"/>
      <c r="O265" s="251"/>
      <c r="P265" s="247"/>
      <c r="Q265" s="247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>
      <c r="A266" s="247"/>
      <c r="B266" s="247"/>
      <c r="C266" s="247"/>
      <c r="D266" s="238"/>
      <c r="E266" s="254"/>
      <c r="F266" s="255"/>
      <c r="G266" s="238"/>
      <c r="H266" s="247"/>
      <c r="I266" s="238"/>
      <c r="J266" s="247"/>
      <c r="K266" s="247"/>
      <c r="L266" s="247"/>
      <c r="M266" s="238"/>
      <c r="N266" s="238"/>
      <c r="O266" s="251"/>
      <c r="P266" s="247"/>
      <c r="Q266" s="247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>
      <c r="A267" s="247"/>
      <c r="B267" s="247"/>
      <c r="C267" s="247"/>
      <c r="D267" s="238"/>
      <c r="E267" s="254"/>
      <c r="F267" s="255"/>
      <c r="G267" s="238"/>
      <c r="H267" s="247"/>
      <c r="I267" s="238"/>
      <c r="J267" s="247"/>
      <c r="K267" s="247"/>
      <c r="L267" s="247"/>
      <c r="M267" s="238"/>
      <c r="N267" s="238"/>
      <c r="O267" s="251"/>
      <c r="P267" s="247"/>
      <c r="Q267" s="247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>
      <c r="A268" s="247"/>
      <c r="B268" s="247"/>
      <c r="C268" s="247"/>
      <c r="D268" s="238"/>
      <c r="E268" s="254"/>
      <c r="F268" s="255"/>
      <c r="G268" s="238"/>
      <c r="H268" s="247"/>
      <c r="I268" s="238"/>
      <c r="J268" s="247"/>
      <c r="K268" s="247"/>
      <c r="L268" s="247"/>
      <c r="M268" s="238"/>
      <c r="N268" s="238"/>
      <c r="O268" s="251"/>
      <c r="P268" s="247"/>
      <c r="Q268" s="247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>
      <c r="A269" s="247"/>
      <c r="B269" s="247"/>
      <c r="C269" s="247"/>
      <c r="D269" s="238"/>
      <c r="E269" s="254"/>
      <c r="F269" s="255"/>
      <c r="G269" s="238"/>
      <c r="H269" s="247"/>
      <c r="I269" s="238"/>
      <c r="J269" s="247"/>
      <c r="K269" s="247"/>
      <c r="L269" s="247"/>
      <c r="M269" s="238"/>
      <c r="N269" s="238"/>
      <c r="O269" s="251"/>
      <c r="P269" s="247"/>
      <c r="Q269" s="247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>
      <c r="A270" s="247"/>
      <c r="B270" s="247"/>
      <c r="C270" s="247"/>
      <c r="D270" s="238"/>
      <c r="E270" s="254"/>
      <c r="F270" s="255"/>
      <c r="G270" s="238"/>
      <c r="H270" s="247"/>
      <c r="I270" s="238"/>
      <c r="J270" s="247"/>
      <c r="K270" s="247"/>
      <c r="L270" s="247"/>
      <c r="M270" s="238"/>
      <c r="N270" s="238"/>
      <c r="O270" s="251"/>
      <c r="P270" s="247"/>
      <c r="Q270" s="247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>
      <c r="A271" s="247"/>
      <c r="B271" s="247"/>
      <c r="C271" s="247"/>
      <c r="D271" s="238"/>
      <c r="E271" s="254"/>
      <c r="F271" s="255"/>
      <c r="G271" s="238"/>
      <c r="H271" s="247"/>
      <c r="I271" s="238"/>
      <c r="J271" s="247"/>
      <c r="K271" s="247"/>
      <c r="L271" s="247"/>
      <c r="M271" s="238"/>
      <c r="N271" s="238"/>
      <c r="O271" s="251"/>
      <c r="P271" s="247"/>
      <c r="Q271" s="247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>
      <c r="A272" s="247"/>
      <c r="B272" s="247"/>
      <c r="C272" s="247"/>
      <c r="D272" s="238"/>
      <c r="E272" s="254"/>
      <c r="F272" s="255"/>
      <c r="G272" s="238"/>
      <c r="H272" s="247"/>
      <c r="I272" s="238"/>
      <c r="J272" s="247"/>
      <c r="K272" s="247"/>
      <c r="L272" s="247"/>
      <c r="M272" s="238"/>
      <c r="N272" s="238"/>
      <c r="O272" s="251"/>
      <c r="P272" s="247"/>
      <c r="Q272" s="247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>
      <c r="A273" s="247"/>
      <c r="B273" s="247"/>
      <c r="C273" s="247"/>
      <c r="D273" s="238"/>
      <c r="E273" s="254"/>
      <c r="F273" s="255"/>
      <c r="G273" s="238"/>
      <c r="H273" s="247"/>
      <c r="I273" s="238"/>
      <c r="J273" s="247"/>
      <c r="K273" s="247"/>
      <c r="L273" s="247"/>
      <c r="M273" s="238"/>
      <c r="N273" s="238"/>
      <c r="O273" s="251"/>
      <c r="P273" s="247"/>
      <c r="Q273" s="247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>
      <c r="A274" s="247"/>
      <c r="B274" s="247"/>
      <c r="C274" s="247"/>
      <c r="D274" s="238"/>
      <c r="E274" s="254"/>
      <c r="F274" s="255"/>
      <c r="G274" s="238"/>
      <c r="H274" s="247"/>
      <c r="I274" s="238"/>
      <c r="J274" s="247"/>
      <c r="K274" s="247"/>
      <c r="L274" s="247"/>
      <c r="M274" s="238"/>
      <c r="N274" s="238"/>
      <c r="O274" s="251"/>
      <c r="P274" s="247"/>
      <c r="Q274" s="247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>
      <c r="A275" s="247"/>
      <c r="B275" s="247"/>
      <c r="C275" s="247"/>
      <c r="D275" s="238"/>
      <c r="E275" s="254"/>
      <c r="F275" s="255"/>
      <c r="G275" s="238"/>
      <c r="H275" s="247"/>
      <c r="I275" s="238"/>
      <c r="J275" s="247"/>
      <c r="K275" s="247"/>
      <c r="L275" s="247"/>
      <c r="M275" s="238"/>
      <c r="N275" s="238"/>
      <c r="O275" s="251"/>
      <c r="P275" s="247"/>
      <c r="Q275" s="247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>
      <c r="A276" s="247"/>
      <c r="B276" s="247"/>
      <c r="C276" s="247"/>
      <c r="D276" s="238"/>
      <c r="E276" s="254"/>
      <c r="F276" s="255"/>
      <c r="G276" s="238"/>
      <c r="H276" s="247"/>
      <c r="I276" s="238"/>
      <c r="J276" s="247"/>
      <c r="K276" s="247"/>
      <c r="L276" s="247"/>
      <c r="M276" s="238"/>
      <c r="N276" s="238"/>
      <c r="O276" s="251"/>
      <c r="P276" s="247"/>
      <c r="Q276" s="247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>
      <c r="A277" s="247"/>
      <c r="B277" s="247"/>
      <c r="C277" s="247"/>
      <c r="D277" s="238"/>
      <c r="E277" s="254"/>
      <c r="F277" s="255"/>
      <c r="G277" s="238"/>
      <c r="H277" s="247"/>
      <c r="I277" s="238"/>
      <c r="J277" s="247"/>
      <c r="K277" s="247"/>
      <c r="L277" s="247"/>
      <c r="M277" s="238"/>
      <c r="N277" s="238"/>
      <c r="O277" s="251"/>
      <c r="P277" s="247"/>
      <c r="Q277" s="247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>
      <c r="A278" s="247"/>
      <c r="B278" s="247"/>
      <c r="C278" s="247"/>
      <c r="D278" s="238"/>
      <c r="E278" s="254"/>
      <c r="F278" s="255"/>
      <c r="G278" s="238"/>
      <c r="H278" s="247"/>
      <c r="I278" s="238"/>
      <c r="J278" s="247"/>
      <c r="K278" s="247"/>
      <c r="L278" s="247"/>
      <c r="M278" s="238"/>
      <c r="N278" s="238"/>
      <c r="O278" s="251"/>
      <c r="P278" s="247"/>
      <c r="Q278" s="247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>
      <c r="A279" s="247"/>
      <c r="B279" s="247"/>
      <c r="C279" s="247"/>
      <c r="D279" s="238"/>
      <c r="E279" s="254"/>
      <c r="F279" s="255"/>
      <c r="G279" s="238"/>
      <c r="H279" s="247"/>
      <c r="I279" s="238"/>
      <c r="J279" s="247"/>
      <c r="K279" s="247"/>
      <c r="L279" s="247"/>
      <c r="M279" s="238"/>
      <c r="N279" s="238"/>
      <c r="O279" s="251"/>
      <c r="P279" s="247"/>
      <c r="Q279" s="247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>
      <c r="A280" s="247"/>
      <c r="B280" s="247"/>
      <c r="C280" s="247"/>
      <c r="D280" s="238"/>
      <c r="E280" s="254"/>
      <c r="F280" s="255"/>
      <c r="G280" s="238"/>
      <c r="H280" s="247"/>
      <c r="I280" s="238"/>
      <c r="J280" s="247"/>
      <c r="K280" s="247"/>
      <c r="L280" s="247"/>
      <c r="M280" s="238"/>
      <c r="N280" s="238"/>
      <c r="O280" s="251"/>
      <c r="P280" s="247"/>
      <c r="Q280" s="247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>
      <c r="A281" s="247"/>
      <c r="B281" s="247"/>
      <c r="C281" s="247"/>
      <c r="D281" s="238"/>
      <c r="E281" s="254"/>
      <c r="F281" s="255"/>
      <c r="G281" s="238"/>
      <c r="H281" s="247"/>
      <c r="I281" s="238"/>
      <c r="J281" s="247"/>
      <c r="K281" s="247"/>
      <c r="L281" s="247"/>
      <c r="M281" s="238"/>
      <c r="N281" s="238"/>
      <c r="O281" s="251"/>
      <c r="P281" s="247"/>
      <c r="Q281" s="247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>
      <c r="A282" s="247"/>
      <c r="B282" s="247"/>
      <c r="C282" s="247"/>
      <c r="D282" s="238"/>
      <c r="E282" s="254"/>
      <c r="F282" s="255"/>
      <c r="G282" s="238"/>
      <c r="H282" s="247"/>
      <c r="I282" s="238"/>
      <c r="J282" s="247"/>
      <c r="K282" s="247"/>
      <c r="L282" s="247"/>
      <c r="M282" s="238"/>
      <c r="N282" s="238"/>
      <c r="O282" s="251"/>
      <c r="P282" s="247"/>
      <c r="Q282" s="247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>
      <c r="A283" s="247"/>
      <c r="B283" s="247"/>
      <c r="C283" s="247"/>
      <c r="D283" s="238"/>
      <c r="E283" s="254"/>
      <c r="F283" s="255"/>
      <c r="G283" s="238"/>
      <c r="H283" s="247"/>
      <c r="I283" s="238"/>
      <c r="J283" s="247"/>
      <c r="K283" s="247"/>
      <c r="L283" s="247"/>
      <c r="M283" s="238"/>
      <c r="N283" s="238"/>
      <c r="O283" s="251"/>
      <c r="P283" s="247"/>
      <c r="Q283" s="247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>
      <c r="A284" s="247"/>
      <c r="B284" s="247"/>
      <c r="C284" s="247"/>
      <c r="D284" s="238"/>
      <c r="E284" s="254"/>
      <c r="F284" s="255"/>
      <c r="G284" s="238"/>
      <c r="H284" s="247"/>
      <c r="I284" s="238"/>
      <c r="J284" s="247"/>
      <c r="K284" s="247"/>
      <c r="L284" s="247"/>
      <c r="M284" s="238"/>
      <c r="N284" s="238"/>
      <c r="O284" s="251"/>
      <c r="P284" s="247"/>
      <c r="Q284" s="247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>
      <c r="A285" s="247"/>
      <c r="B285" s="247"/>
      <c r="C285" s="247"/>
      <c r="D285" s="238"/>
      <c r="E285" s="254"/>
      <c r="F285" s="255"/>
      <c r="G285" s="238"/>
      <c r="H285" s="247"/>
      <c r="I285" s="238"/>
      <c r="J285" s="247"/>
      <c r="K285" s="247"/>
      <c r="L285" s="247"/>
      <c r="M285" s="238"/>
      <c r="N285" s="238"/>
      <c r="O285" s="251"/>
      <c r="P285" s="247"/>
      <c r="Q285" s="247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>
      <c r="A286" s="247"/>
      <c r="B286" s="247"/>
      <c r="C286" s="247"/>
      <c r="D286" s="238"/>
      <c r="E286" s="254"/>
      <c r="F286" s="255"/>
      <c r="G286" s="238"/>
      <c r="H286" s="247"/>
      <c r="I286" s="238"/>
      <c r="J286" s="247"/>
      <c r="K286" s="247"/>
      <c r="L286" s="247"/>
      <c r="M286" s="238"/>
      <c r="N286" s="238"/>
      <c r="O286" s="251"/>
      <c r="P286" s="247"/>
      <c r="Q286" s="247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>
      <c r="A287" s="247"/>
      <c r="B287" s="247"/>
      <c r="C287" s="247"/>
      <c r="D287" s="238"/>
      <c r="E287" s="254"/>
      <c r="F287" s="255"/>
      <c r="G287" s="238"/>
      <c r="H287" s="247"/>
      <c r="I287" s="238"/>
      <c r="J287" s="247"/>
      <c r="K287" s="247"/>
      <c r="L287" s="247"/>
      <c r="M287" s="238"/>
      <c r="N287" s="238"/>
      <c r="O287" s="251"/>
      <c r="P287" s="247"/>
      <c r="Q287" s="247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>
      <c r="A288" s="247"/>
      <c r="B288" s="247"/>
      <c r="C288" s="247"/>
      <c r="D288" s="238"/>
      <c r="E288" s="254"/>
      <c r="F288" s="255"/>
      <c r="G288" s="238"/>
      <c r="H288" s="247"/>
      <c r="I288" s="238"/>
      <c r="J288" s="247"/>
      <c r="K288" s="247"/>
      <c r="L288" s="247"/>
      <c r="M288" s="238"/>
      <c r="N288" s="238"/>
      <c r="O288" s="251"/>
      <c r="P288" s="247"/>
      <c r="Q288" s="247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>
      <c r="A289" s="247"/>
      <c r="B289" s="247"/>
      <c r="C289" s="247"/>
      <c r="D289" s="238"/>
      <c r="E289" s="254"/>
      <c r="F289" s="255"/>
      <c r="G289" s="238"/>
      <c r="H289" s="247"/>
      <c r="I289" s="238"/>
      <c r="J289" s="247"/>
      <c r="K289" s="247"/>
      <c r="L289" s="247"/>
      <c r="M289" s="238"/>
      <c r="N289" s="238"/>
      <c r="O289" s="251"/>
      <c r="P289" s="247"/>
      <c r="Q289" s="247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>
      <c r="A290" s="247"/>
      <c r="B290" s="247"/>
      <c r="C290" s="247"/>
      <c r="D290" s="238"/>
      <c r="E290" s="254"/>
      <c r="F290" s="255"/>
      <c r="G290" s="238"/>
      <c r="H290" s="247"/>
      <c r="I290" s="238"/>
      <c r="J290" s="247"/>
      <c r="K290" s="247"/>
      <c r="L290" s="247"/>
      <c r="M290" s="238"/>
      <c r="N290" s="238"/>
      <c r="O290" s="251"/>
      <c r="P290" s="247"/>
      <c r="Q290" s="247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>
      <c r="A291" s="247"/>
      <c r="B291" s="247"/>
      <c r="C291" s="247"/>
      <c r="D291" s="238"/>
      <c r="E291" s="254"/>
      <c r="F291" s="255"/>
      <c r="G291" s="238"/>
      <c r="H291" s="247"/>
      <c r="I291" s="238"/>
      <c r="J291" s="247"/>
      <c r="K291" s="247"/>
      <c r="L291" s="247"/>
      <c r="M291" s="238"/>
      <c r="N291" s="238"/>
      <c r="O291" s="251"/>
      <c r="P291" s="247"/>
      <c r="Q291" s="247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>
      <c r="A292" s="247"/>
      <c r="B292" s="247"/>
      <c r="C292" s="247"/>
      <c r="D292" s="238"/>
      <c r="E292" s="254"/>
      <c r="F292" s="255"/>
      <c r="G292" s="238"/>
      <c r="H292" s="247"/>
      <c r="I292" s="238"/>
      <c r="J292" s="247"/>
      <c r="K292" s="247"/>
      <c r="L292" s="247"/>
      <c r="M292" s="238"/>
      <c r="N292" s="238"/>
      <c r="O292" s="251"/>
      <c r="P292" s="247"/>
      <c r="Q292" s="247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>
      <c r="A293" s="247"/>
      <c r="B293" s="247"/>
      <c r="C293" s="247"/>
      <c r="D293" s="238"/>
      <c r="E293" s="254"/>
      <c r="F293" s="255"/>
      <c r="G293" s="238"/>
      <c r="H293" s="247"/>
      <c r="I293" s="238"/>
      <c r="J293" s="247"/>
      <c r="K293" s="247"/>
      <c r="L293" s="247"/>
      <c r="M293" s="238"/>
      <c r="N293" s="238"/>
      <c r="O293" s="251"/>
      <c r="P293" s="247"/>
      <c r="Q293" s="247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>
      <c r="A294" s="247"/>
      <c r="B294" s="247"/>
      <c r="C294" s="247"/>
      <c r="D294" s="238"/>
      <c r="E294" s="254"/>
      <c r="F294" s="255"/>
      <c r="G294" s="238"/>
      <c r="H294" s="247"/>
      <c r="I294" s="238"/>
      <c r="J294" s="247"/>
      <c r="K294" s="247"/>
      <c r="L294" s="247"/>
      <c r="M294" s="238"/>
      <c r="N294" s="238"/>
      <c r="O294" s="251"/>
      <c r="P294" s="247"/>
      <c r="Q294" s="247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>
      <c r="A295" s="247"/>
      <c r="B295" s="247"/>
      <c r="C295" s="247"/>
      <c r="D295" s="238"/>
      <c r="E295" s="254"/>
      <c r="F295" s="255"/>
      <c r="G295" s="238"/>
      <c r="H295" s="247"/>
      <c r="I295" s="238"/>
      <c r="J295" s="247"/>
      <c r="K295" s="247"/>
      <c r="L295" s="247"/>
      <c r="M295" s="238"/>
      <c r="N295" s="238"/>
      <c r="O295" s="251"/>
      <c r="P295" s="247"/>
      <c r="Q295" s="247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>
      <c r="A296" s="247"/>
      <c r="B296" s="247"/>
      <c r="C296" s="247"/>
      <c r="D296" s="238"/>
      <c r="E296" s="254"/>
      <c r="F296" s="255"/>
      <c r="G296" s="238"/>
      <c r="H296" s="247"/>
      <c r="I296" s="238"/>
      <c r="J296" s="247"/>
      <c r="K296" s="247"/>
      <c r="L296" s="247"/>
      <c r="M296" s="238"/>
      <c r="N296" s="238"/>
      <c r="O296" s="251"/>
      <c r="P296" s="247"/>
      <c r="Q296" s="247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>
      <c r="A297" s="247"/>
      <c r="B297" s="247"/>
      <c r="C297" s="247"/>
      <c r="D297" s="238"/>
      <c r="E297" s="254"/>
      <c r="F297" s="255"/>
      <c r="G297" s="238"/>
      <c r="H297" s="247"/>
      <c r="I297" s="238"/>
      <c r="J297" s="247"/>
      <c r="K297" s="247"/>
      <c r="L297" s="247"/>
      <c r="M297" s="238"/>
      <c r="N297" s="238"/>
      <c r="O297" s="251"/>
      <c r="P297" s="247"/>
      <c r="Q297" s="247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>
      <c r="A298" s="247"/>
      <c r="B298" s="247"/>
      <c r="C298" s="247"/>
      <c r="D298" s="238"/>
      <c r="E298" s="254"/>
      <c r="F298" s="255"/>
      <c r="G298" s="238"/>
      <c r="H298" s="247"/>
      <c r="I298" s="238"/>
      <c r="J298" s="247"/>
      <c r="K298" s="247"/>
      <c r="L298" s="247"/>
      <c r="M298" s="238"/>
      <c r="N298" s="238"/>
      <c r="O298" s="251"/>
      <c r="P298" s="247"/>
      <c r="Q298" s="247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>
      <c r="A299" s="247"/>
      <c r="B299" s="247"/>
      <c r="C299" s="247"/>
      <c r="D299" s="238"/>
      <c r="E299" s="254"/>
      <c r="F299" s="255"/>
      <c r="G299" s="238"/>
      <c r="H299" s="247"/>
      <c r="I299" s="238"/>
      <c r="J299" s="247"/>
      <c r="K299" s="247"/>
      <c r="L299" s="247"/>
      <c r="M299" s="238"/>
      <c r="N299" s="238"/>
      <c r="O299" s="251"/>
      <c r="P299" s="247"/>
      <c r="Q299" s="247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>
      <c r="A300" s="247"/>
      <c r="B300" s="247"/>
      <c r="C300" s="247"/>
      <c r="D300" s="238"/>
      <c r="E300" s="254"/>
      <c r="F300" s="255"/>
      <c r="G300" s="238"/>
      <c r="H300" s="247"/>
      <c r="I300" s="238"/>
      <c r="J300" s="247"/>
      <c r="K300" s="247"/>
      <c r="L300" s="247"/>
      <c r="M300" s="238"/>
      <c r="N300" s="238"/>
      <c r="O300" s="251"/>
      <c r="P300" s="247"/>
      <c r="Q300" s="247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>
      <c r="A301" s="247"/>
      <c r="B301" s="247"/>
      <c r="C301" s="247"/>
      <c r="D301" s="238"/>
      <c r="E301" s="254"/>
      <c r="F301" s="255"/>
      <c r="G301" s="238"/>
      <c r="H301" s="247"/>
      <c r="I301" s="238"/>
      <c r="J301" s="247"/>
      <c r="K301" s="247"/>
      <c r="L301" s="247"/>
      <c r="M301" s="238"/>
      <c r="N301" s="238"/>
      <c r="O301" s="251"/>
      <c r="P301" s="247"/>
      <c r="Q301" s="247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>
      <c r="A302" s="247"/>
      <c r="B302" s="247"/>
      <c r="C302" s="247"/>
      <c r="D302" s="238"/>
      <c r="E302" s="254"/>
      <c r="F302" s="255"/>
      <c r="G302" s="238"/>
      <c r="H302" s="247"/>
      <c r="I302" s="238"/>
      <c r="J302" s="247"/>
      <c r="K302" s="247"/>
      <c r="L302" s="247"/>
      <c r="M302" s="238"/>
      <c r="N302" s="238"/>
      <c r="O302" s="251"/>
      <c r="P302" s="247"/>
      <c r="Q302" s="247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>
      <c r="A303" s="247"/>
      <c r="B303" s="247"/>
      <c r="C303" s="247"/>
      <c r="D303" s="238"/>
      <c r="E303" s="254"/>
      <c r="F303" s="255"/>
      <c r="G303" s="238"/>
      <c r="H303" s="247"/>
      <c r="I303" s="238"/>
      <c r="J303" s="247"/>
      <c r="K303" s="247"/>
      <c r="L303" s="247"/>
      <c r="M303" s="238"/>
      <c r="N303" s="238"/>
      <c r="O303" s="251"/>
      <c r="P303" s="247"/>
      <c r="Q303" s="247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>
      <c r="A304" s="247"/>
      <c r="B304" s="247"/>
      <c r="C304" s="247"/>
      <c r="D304" s="238"/>
      <c r="E304" s="254"/>
      <c r="F304" s="255"/>
      <c r="G304" s="238"/>
      <c r="H304" s="247"/>
      <c r="I304" s="238"/>
      <c r="J304" s="247"/>
      <c r="K304" s="247"/>
      <c r="L304" s="247"/>
      <c r="M304" s="238"/>
      <c r="N304" s="238"/>
      <c r="O304" s="251"/>
      <c r="P304" s="247"/>
      <c r="Q304" s="247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>
      <c r="A305" s="247"/>
      <c r="B305" s="247"/>
      <c r="C305" s="247"/>
      <c r="D305" s="238"/>
      <c r="E305" s="254"/>
      <c r="F305" s="255"/>
      <c r="G305" s="238"/>
      <c r="H305" s="247"/>
      <c r="I305" s="238"/>
      <c r="J305" s="247"/>
      <c r="K305" s="247"/>
      <c r="L305" s="247"/>
      <c r="M305" s="238"/>
      <c r="N305" s="238"/>
      <c r="O305" s="251"/>
      <c r="P305" s="247"/>
      <c r="Q305" s="247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>
      <c r="A306" s="247"/>
      <c r="B306" s="247"/>
      <c r="C306" s="247"/>
      <c r="D306" s="238"/>
      <c r="E306" s="254"/>
      <c r="F306" s="255"/>
      <c r="G306" s="238"/>
      <c r="H306" s="247"/>
      <c r="I306" s="238"/>
      <c r="J306" s="247"/>
      <c r="K306" s="247"/>
      <c r="L306" s="247"/>
      <c r="M306" s="238"/>
      <c r="N306" s="238"/>
      <c r="O306" s="251"/>
      <c r="P306" s="247"/>
      <c r="Q306" s="247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>
      <c r="A307" s="247"/>
      <c r="B307" s="247"/>
      <c r="C307" s="247"/>
      <c r="D307" s="238"/>
      <c r="E307" s="254"/>
      <c r="F307" s="255"/>
      <c r="G307" s="238"/>
      <c r="H307" s="247"/>
      <c r="I307" s="238"/>
      <c r="J307" s="247"/>
      <c r="K307" s="247"/>
      <c r="L307" s="247"/>
      <c r="M307" s="238"/>
      <c r="N307" s="238"/>
      <c r="O307" s="251"/>
      <c r="P307" s="247"/>
      <c r="Q307" s="247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>
      <c r="A308" s="247"/>
      <c r="B308" s="247"/>
      <c r="C308" s="247"/>
      <c r="D308" s="238"/>
      <c r="E308" s="254"/>
      <c r="F308" s="255"/>
      <c r="G308" s="238"/>
      <c r="H308" s="247"/>
      <c r="I308" s="238"/>
      <c r="J308" s="247"/>
      <c r="K308" s="247"/>
      <c r="L308" s="247"/>
      <c r="M308" s="238"/>
      <c r="N308" s="238"/>
      <c r="O308" s="251"/>
      <c r="P308" s="247"/>
      <c r="Q308" s="247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>
      <c r="A309" s="247"/>
      <c r="B309" s="247"/>
      <c r="C309" s="247"/>
      <c r="D309" s="238"/>
      <c r="E309" s="254"/>
      <c r="F309" s="255"/>
      <c r="G309" s="238"/>
      <c r="H309" s="247"/>
      <c r="I309" s="238"/>
      <c r="J309" s="247"/>
      <c r="K309" s="247"/>
      <c r="L309" s="247"/>
      <c r="M309" s="238"/>
      <c r="N309" s="238"/>
      <c r="O309" s="251"/>
      <c r="P309" s="247"/>
      <c r="Q309" s="247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>
      <c r="A310" s="247"/>
      <c r="B310" s="247"/>
      <c r="C310" s="247"/>
      <c r="D310" s="238"/>
      <c r="E310" s="254"/>
      <c r="F310" s="255"/>
      <c r="G310" s="238"/>
      <c r="H310" s="247"/>
      <c r="I310" s="238"/>
      <c r="J310" s="247"/>
      <c r="K310" s="247"/>
      <c r="L310" s="247"/>
      <c r="M310" s="238"/>
      <c r="N310" s="238"/>
      <c r="O310" s="251"/>
      <c r="P310" s="247"/>
      <c r="Q310" s="247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>
      <c r="A311" s="247"/>
      <c r="B311" s="247"/>
      <c r="C311" s="247"/>
      <c r="D311" s="238"/>
      <c r="E311" s="254"/>
      <c r="F311" s="255"/>
      <c r="G311" s="238"/>
      <c r="H311" s="247"/>
      <c r="I311" s="238"/>
      <c r="J311" s="247"/>
      <c r="K311" s="247"/>
      <c r="L311" s="247"/>
      <c r="M311" s="238"/>
      <c r="N311" s="238"/>
      <c r="O311" s="251"/>
      <c r="P311" s="247"/>
      <c r="Q311" s="247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>
      <c r="A312" s="247"/>
      <c r="B312" s="247"/>
      <c r="C312" s="247"/>
      <c r="D312" s="238"/>
      <c r="E312" s="254"/>
      <c r="F312" s="255"/>
      <c r="G312" s="238"/>
      <c r="H312" s="247"/>
      <c r="I312" s="238"/>
      <c r="J312" s="247"/>
      <c r="K312" s="247"/>
      <c r="L312" s="247"/>
      <c r="M312" s="238"/>
      <c r="N312" s="238"/>
      <c r="O312" s="251"/>
      <c r="P312" s="247"/>
      <c r="Q312" s="247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>
      <c r="A313" s="247"/>
      <c r="B313" s="247"/>
      <c r="C313" s="247"/>
      <c r="D313" s="238"/>
      <c r="E313" s="254"/>
      <c r="F313" s="255"/>
      <c r="G313" s="238"/>
      <c r="H313" s="247"/>
      <c r="I313" s="238"/>
      <c r="J313" s="247"/>
      <c r="K313" s="247"/>
      <c r="L313" s="247"/>
      <c r="M313" s="238"/>
      <c r="N313" s="238"/>
      <c r="O313" s="251"/>
      <c r="P313" s="247"/>
      <c r="Q313" s="247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>
      <c r="A314" s="247"/>
      <c r="B314" s="247"/>
      <c r="C314" s="247"/>
      <c r="D314" s="238"/>
      <c r="E314" s="254"/>
      <c r="F314" s="255"/>
      <c r="G314" s="238"/>
      <c r="H314" s="247"/>
      <c r="I314" s="238"/>
      <c r="J314" s="247"/>
      <c r="K314" s="247"/>
      <c r="L314" s="247"/>
      <c r="M314" s="238"/>
      <c r="N314" s="238"/>
      <c r="O314" s="251"/>
      <c r="P314" s="247"/>
      <c r="Q314" s="247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>
      <c r="A315" s="247"/>
      <c r="B315" s="247"/>
      <c r="C315" s="247"/>
      <c r="D315" s="238"/>
      <c r="E315" s="254"/>
      <c r="F315" s="255"/>
      <c r="G315" s="238"/>
      <c r="H315" s="247"/>
      <c r="I315" s="238"/>
      <c r="J315" s="247"/>
      <c r="K315" s="247"/>
      <c r="L315" s="247"/>
      <c r="M315" s="238"/>
      <c r="N315" s="238"/>
      <c r="O315" s="251"/>
      <c r="P315" s="247"/>
      <c r="Q315" s="247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>
      <c r="A316" s="247"/>
      <c r="B316" s="247"/>
      <c r="C316" s="247"/>
      <c r="D316" s="238"/>
      <c r="E316" s="254"/>
      <c r="F316" s="255"/>
      <c r="G316" s="238"/>
      <c r="H316" s="247"/>
      <c r="I316" s="238"/>
      <c r="J316" s="247"/>
      <c r="K316" s="247"/>
      <c r="L316" s="247"/>
      <c r="M316" s="238"/>
      <c r="N316" s="238"/>
      <c r="O316" s="251"/>
      <c r="P316" s="247"/>
      <c r="Q316" s="247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>
      <c r="A317" s="247"/>
      <c r="B317" s="247"/>
      <c r="C317" s="247"/>
      <c r="D317" s="238"/>
      <c r="E317" s="254"/>
      <c r="F317" s="255"/>
      <c r="G317" s="238"/>
      <c r="H317" s="247"/>
      <c r="I317" s="238"/>
      <c r="J317" s="247"/>
      <c r="K317" s="247"/>
      <c r="L317" s="247"/>
      <c r="M317" s="238"/>
      <c r="N317" s="238"/>
      <c r="O317" s="251"/>
      <c r="P317" s="247"/>
      <c r="Q317" s="247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>
      <c r="A318" s="247"/>
      <c r="B318" s="247"/>
      <c r="C318" s="247"/>
      <c r="D318" s="238"/>
      <c r="E318" s="254"/>
      <c r="F318" s="255"/>
      <c r="G318" s="238"/>
      <c r="H318" s="247"/>
      <c r="I318" s="238"/>
      <c r="J318" s="247"/>
      <c r="K318" s="247"/>
      <c r="L318" s="247"/>
      <c r="M318" s="238"/>
      <c r="N318" s="238"/>
      <c r="O318" s="251"/>
      <c r="P318" s="247"/>
      <c r="Q318" s="247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>
      <c r="A319" s="247"/>
      <c r="B319" s="247"/>
      <c r="C319" s="247"/>
      <c r="D319" s="238"/>
      <c r="E319" s="254"/>
      <c r="F319" s="255"/>
      <c r="G319" s="238"/>
      <c r="H319" s="247"/>
      <c r="I319" s="238"/>
      <c r="J319" s="247"/>
      <c r="K319" s="247"/>
      <c r="L319" s="247"/>
      <c r="M319" s="238"/>
      <c r="N319" s="238"/>
      <c r="O319" s="251"/>
      <c r="P319" s="247"/>
      <c r="Q319" s="247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>
      <c r="A320" s="247"/>
      <c r="B320" s="247"/>
      <c r="C320" s="247"/>
      <c r="D320" s="238"/>
      <c r="E320" s="254"/>
      <c r="F320" s="255"/>
      <c r="G320" s="238"/>
      <c r="H320" s="247"/>
      <c r="I320" s="238"/>
      <c r="J320" s="247"/>
      <c r="K320" s="247"/>
      <c r="L320" s="247"/>
      <c r="M320" s="238"/>
      <c r="N320" s="238"/>
      <c r="O320" s="251"/>
      <c r="P320" s="247"/>
      <c r="Q320" s="247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>
      <c r="A321" s="247"/>
      <c r="B321" s="247"/>
      <c r="C321" s="247"/>
      <c r="D321" s="238"/>
      <c r="E321" s="254"/>
      <c r="F321" s="255"/>
      <c r="G321" s="238"/>
      <c r="H321" s="247"/>
      <c r="I321" s="238"/>
      <c r="J321" s="247"/>
      <c r="K321" s="247"/>
      <c r="L321" s="247"/>
      <c r="M321" s="238"/>
      <c r="N321" s="238"/>
      <c r="O321" s="251"/>
      <c r="P321" s="247"/>
      <c r="Q321" s="247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>
      <c r="A322" s="247"/>
      <c r="B322" s="247"/>
      <c r="C322" s="247"/>
      <c r="D322" s="238"/>
      <c r="E322" s="254"/>
      <c r="F322" s="255"/>
      <c r="G322" s="238"/>
      <c r="H322" s="247"/>
      <c r="I322" s="238"/>
      <c r="J322" s="247"/>
      <c r="K322" s="247"/>
      <c r="L322" s="247"/>
      <c r="M322" s="238"/>
      <c r="N322" s="238"/>
      <c r="O322" s="251"/>
      <c r="P322" s="247"/>
      <c r="Q322" s="247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>
      <c r="A323" s="247"/>
      <c r="B323" s="247"/>
      <c r="C323" s="247"/>
      <c r="D323" s="238"/>
      <c r="E323" s="254"/>
      <c r="F323" s="255"/>
      <c r="G323" s="238"/>
      <c r="H323" s="247"/>
      <c r="I323" s="238"/>
      <c r="J323" s="247"/>
      <c r="K323" s="247"/>
      <c r="L323" s="247"/>
      <c r="M323" s="238"/>
      <c r="N323" s="238"/>
      <c r="O323" s="251"/>
      <c r="P323" s="247"/>
      <c r="Q323" s="247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>
      <c r="A324" s="247"/>
      <c r="B324" s="247"/>
      <c r="C324" s="247"/>
      <c r="D324" s="238"/>
      <c r="E324" s="254"/>
      <c r="F324" s="255"/>
      <c r="G324" s="238"/>
      <c r="H324" s="247"/>
      <c r="I324" s="238"/>
      <c r="J324" s="247"/>
      <c r="K324" s="247"/>
      <c r="L324" s="247"/>
      <c r="M324" s="238"/>
      <c r="N324" s="238"/>
      <c r="O324" s="251"/>
      <c r="P324" s="247"/>
      <c r="Q324" s="247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>
      <c r="A325" s="247"/>
      <c r="B325" s="247"/>
      <c r="C325" s="247"/>
      <c r="D325" s="238"/>
      <c r="E325" s="254"/>
      <c r="F325" s="255"/>
      <c r="G325" s="238"/>
      <c r="H325" s="247"/>
      <c r="I325" s="238"/>
      <c r="J325" s="247"/>
      <c r="K325" s="247"/>
      <c r="L325" s="247"/>
      <c r="M325" s="238"/>
      <c r="N325" s="238"/>
      <c r="O325" s="251"/>
      <c r="P325" s="247"/>
      <c r="Q325" s="247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>
      <c r="A326" s="247"/>
      <c r="B326" s="247"/>
      <c r="C326" s="247"/>
      <c r="D326" s="238"/>
      <c r="E326" s="254"/>
      <c r="F326" s="255"/>
      <c r="G326" s="238"/>
      <c r="H326" s="247"/>
      <c r="I326" s="238"/>
      <c r="J326" s="247"/>
      <c r="K326" s="247"/>
      <c r="L326" s="247"/>
      <c r="M326" s="238"/>
      <c r="N326" s="238"/>
      <c r="O326" s="251"/>
      <c r="P326" s="247"/>
      <c r="Q326" s="247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>
      <c r="A327" s="247"/>
      <c r="B327" s="247"/>
      <c r="C327" s="247"/>
      <c r="D327" s="238"/>
      <c r="E327" s="254"/>
      <c r="F327" s="255"/>
      <c r="G327" s="238"/>
      <c r="H327" s="247"/>
      <c r="I327" s="238"/>
      <c r="J327" s="247"/>
      <c r="K327" s="247"/>
      <c r="L327" s="247"/>
      <c r="M327" s="238"/>
      <c r="N327" s="238"/>
      <c r="O327" s="251"/>
      <c r="P327" s="247"/>
      <c r="Q327" s="247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>
      <c r="A328" s="247"/>
      <c r="B328" s="247"/>
      <c r="C328" s="247"/>
      <c r="D328" s="238"/>
      <c r="E328" s="254"/>
      <c r="F328" s="255"/>
      <c r="G328" s="238"/>
      <c r="H328" s="247"/>
      <c r="I328" s="238"/>
      <c r="J328" s="247"/>
      <c r="K328" s="247"/>
      <c r="L328" s="247"/>
      <c r="M328" s="238"/>
      <c r="N328" s="238"/>
      <c r="O328" s="251"/>
      <c r="P328" s="247"/>
      <c r="Q328" s="247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>
      <c r="A329" s="247"/>
      <c r="B329" s="247"/>
      <c r="C329" s="247"/>
      <c r="D329" s="238"/>
      <c r="E329" s="254"/>
      <c r="F329" s="255"/>
      <c r="G329" s="238"/>
      <c r="H329" s="247"/>
      <c r="I329" s="238"/>
      <c r="J329" s="247"/>
      <c r="K329" s="247"/>
      <c r="L329" s="247"/>
      <c r="M329" s="238"/>
      <c r="N329" s="238"/>
      <c r="O329" s="251"/>
      <c r="P329" s="247"/>
      <c r="Q329" s="247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>
      <c r="A330" s="247"/>
      <c r="B330" s="247"/>
      <c r="C330" s="247"/>
      <c r="D330" s="238"/>
      <c r="E330" s="254"/>
      <c r="F330" s="255"/>
      <c r="G330" s="238"/>
      <c r="H330" s="247"/>
      <c r="I330" s="238"/>
      <c r="J330" s="247"/>
      <c r="K330" s="247"/>
      <c r="L330" s="247"/>
      <c r="M330" s="238"/>
      <c r="N330" s="238"/>
      <c r="O330" s="251"/>
      <c r="P330" s="247"/>
      <c r="Q330" s="247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>
      <c r="A331" s="247"/>
      <c r="B331" s="247"/>
      <c r="C331" s="247"/>
      <c r="D331" s="238"/>
      <c r="E331" s="254"/>
      <c r="F331" s="255"/>
      <c r="G331" s="238"/>
      <c r="H331" s="247"/>
      <c r="I331" s="238"/>
      <c r="J331" s="247"/>
      <c r="K331" s="247"/>
      <c r="L331" s="247"/>
      <c r="M331" s="238"/>
      <c r="N331" s="238"/>
      <c r="O331" s="251"/>
      <c r="P331" s="247"/>
      <c r="Q331" s="247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>
      <c r="A332" s="247"/>
      <c r="B332" s="247"/>
      <c r="C332" s="247"/>
      <c r="D332" s="238"/>
      <c r="E332" s="254"/>
      <c r="F332" s="255"/>
      <c r="G332" s="238"/>
      <c r="H332" s="247"/>
      <c r="I332" s="238"/>
      <c r="J332" s="247"/>
      <c r="K332" s="247"/>
      <c r="L332" s="247"/>
      <c r="M332" s="238"/>
      <c r="N332" s="238"/>
      <c r="O332" s="251"/>
      <c r="P332" s="247"/>
      <c r="Q332" s="247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>
      <c r="A333" s="247"/>
      <c r="B333" s="247"/>
      <c r="C333" s="247"/>
      <c r="D333" s="238"/>
      <c r="E333" s="254"/>
      <c r="F333" s="255"/>
      <c r="G333" s="238"/>
      <c r="H333" s="247"/>
      <c r="I333" s="238"/>
      <c r="J333" s="247"/>
      <c r="K333" s="247"/>
      <c r="L333" s="247"/>
      <c r="M333" s="238"/>
      <c r="N333" s="238"/>
      <c r="O333" s="251"/>
      <c r="P333" s="247"/>
      <c r="Q333" s="247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>
      <c r="A334" s="247"/>
      <c r="B334" s="247"/>
      <c r="C334" s="247"/>
      <c r="D334" s="238"/>
      <c r="E334" s="254"/>
      <c r="F334" s="255"/>
      <c r="G334" s="238"/>
      <c r="H334" s="247"/>
      <c r="I334" s="238"/>
      <c r="J334" s="247"/>
      <c r="K334" s="247"/>
      <c r="L334" s="247"/>
      <c r="M334" s="238"/>
      <c r="N334" s="238"/>
      <c r="O334" s="251"/>
      <c r="P334" s="247"/>
      <c r="Q334" s="247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>
      <c r="A335" s="247"/>
      <c r="B335" s="247"/>
      <c r="C335" s="247"/>
      <c r="D335" s="238"/>
      <c r="E335" s="254"/>
      <c r="F335" s="255"/>
      <c r="G335" s="238"/>
      <c r="H335" s="247"/>
      <c r="I335" s="238"/>
      <c r="J335" s="247"/>
      <c r="K335" s="247"/>
      <c r="L335" s="247"/>
      <c r="M335" s="238"/>
      <c r="N335" s="238"/>
      <c r="O335" s="251"/>
      <c r="P335" s="247"/>
      <c r="Q335" s="247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>
      <c r="A336" s="247"/>
      <c r="B336" s="247"/>
      <c r="C336" s="247"/>
      <c r="D336" s="238"/>
      <c r="E336" s="254"/>
      <c r="F336" s="255"/>
      <c r="G336" s="238"/>
      <c r="H336" s="247"/>
      <c r="I336" s="238"/>
      <c r="J336" s="247"/>
      <c r="K336" s="247"/>
      <c r="L336" s="247"/>
      <c r="M336" s="238"/>
      <c r="N336" s="238"/>
      <c r="O336" s="251"/>
      <c r="P336" s="247"/>
      <c r="Q336" s="247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>
      <c r="A337" s="247"/>
      <c r="B337" s="247"/>
      <c r="C337" s="247"/>
      <c r="D337" s="238"/>
      <c r="E337" s="254"/>
      <c r="F337" s="255"/>
      <c r="G337" s="238"/>
      <c r="H337" s="247"/>
      <c r="I337" s="238"/>
      <c r="J337" s="247"/>
      <c r="K337" s="247"/>
      <c r="L337" s="247"/>
      <c r="M337" s="238"/>
      <c r="N337" s="238"/>
      <c r="O337" s="251"/>
      <c r="P337" s="247"/>
      <c r="Q337" s="247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>
      <c r="A338" s="247"/>
      <c r="B338" s="247"/>
      <c r="C338" s="247"/>
      <c r="D338" s="238"/>
      <c r="E338" s="254"/>
      <c r="F338" s="255"/>
      <c r="G338" s="238"/>
      <c r="H338" s="247"/>
      <c r="I338" s="238"/>
      <c r="J338" s="247"/>
      <c r="K338" s="247"/>
      <c r="L338" s="247"/>
      <c r="M338" s="238"/>
      <c r="N338" s="238"/>
      <c r="O338" s="251"/>
      <c r="P338" s="247"/>
      <c r="Q338" s="247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>
      <c r="A339" s="247"/>
      <c r="B339" s="247"/>
      <c r="C339" s="247"/>
      <c r="D339" s="238"/>
      <c r="E339" s="254"/>
      <c r="F339" s="255"/>
      <c r="G339" s="238"/>
      <c r="H339" s="247"/>
      <c r="I339" s="238"/>
      <c r="J339" s="247"/>
      <c r="K339" s="247"/>
      <c r="L339" s="247"/>
      <c r="M339" s="238"/>
      <c r="N339" s="238"/>
      <c r="O339" s="251"/>
      <c r="P339" s="247"/>
      <c r="Q339" s="247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>
      <c r="A340" s="247"/>
      <c r="B340" s="247"/>
      <c r="C340" s="247"/>
      <c r="D340" s="238"/>
      <c r="E340" s="254"/>
      <c r="F340" s="255"/>
      <c r="G340" s="238"/>
      <c r="H340" s="247"/>
      <c r="I340" s="238"/>
      <c r="J340" s="247"/>
      <c r="K340" s="247"/>
      <c r="L340" s="247"/>
      <c r="M340" s="238"/>
      <c r="N340" s="238"/>
      <c r="O340" s="251"/>
      <c r="P340" s="247"/>
      <c r="Q340" s="247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>
      <c r="A341" s="247"/>
      <c r="B341" s="247"/>
      <c r="C341" s="247"/>
      <c r="D341" s="238"/>
      <c r="E341" s="254"/>
      <c r="F341" s="255"/>
      <c r="G341" s="238"/>
      <c r="H341" s="247"/>
      <c r="I341" s="238"/>
      <c r="J341" s="247"/>
      <c r="K341" s="247"/>
      <c r="L341" s="247"/>
      <c r="M341" s="238"/>
      <c r="N341" s="238"/>
      <c r="O341" s="251"/>
      <c r="P341" s="247"/>
      <c r="Q341" s="247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>
      <c r="A342" s="247"/>
      <c r="B342" s="247"/>
      <c r="C342" s="247"/>
      <c r="D342" s="238"/>
      <c r="E342" s="254"/>
      <c r="F342" s="255"/>
      <c r="G342" s="238"/>
      <c r="H342" s="247"/>
      <c r="I342" s="238"/>
      <c r="J342" s="247"/>
      <c r="K342" s="247"/>
      <c r="L342" s="247"/>
      <c r="M342" s="238"/>
      <c r="N342" s="238"/>
      <c r="O342" s="251"/>
      <c r="P342" s="247"/>
      <c r="Q342" s="247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>
      <c r="A343" s="247"/>
      <c r="B343" s="247"/>
      <c r="C343" s="247"/>
      <c r="D343" s="238"/>
      <c r="E343" s="254"/>
      <c r="F343" s="255"/>
      <c r="G343" s="238"/>
      <c r="H343" s="247"/>
      <c r="I343" s="238"/>
      <c r="J343" s="247"/>
      <c r="K343" s="247"/>
      <c r="L343" s="247"/>
      <c r="M343" s="238"/>
      <c r="N343" s="238"/>
      <c r="O343" s="251"/>
      <c r="P343" s="247"/>
      <c r="Q343" s="247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>
      <c r="A344" s="247"/>
      <c r="B344" s="247"/>
      <c r="C344" s="247"/>
      <c r="D344" s="238"/>
      <c r="E344" s="254"/>
      <c r="F344" s="255"/>
      <c r="G344" s="238"/>
      <c r="H344" s="247"/>
      <c r="I344" s="238"/>
      <c r="J344" s="247"/>
      <c r="K344" s="247"/>
      <c r="L344" s="247"/>
      <c r="M344" s="238"/>
      <c r="N344" s="238"/>
      <c r="O344" s="251"/>
      <c r="P344" s="247"/>
      <c r="Q344" s="247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>
      <c r="A345" s="247"/>
      <c r="B345" s="247"/>
      <c r="C345" s="247"/>
      <c r="D345" s="238"/>
      <c r="E345" s="254"/>
      <c r="F345" s="255"/>
      <c r="G345" s="238"/>
      <c r="H345" s="247"/>
      <c r="I345" s="238"/>
      <c r="J345" s="247"/>
      <c r="K345" s="247"/>
      <c r="L345" s="247"/>
      <c r="M345" s="238"/>
      <c r="N345" s="238"/>
      <c r="O345" s="251"/>
      <c r="P345" s="247"/>
      <c r="Q345" s="247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>
      <c r="A346" s="247"/>
      <c r="B346" s="247"/>
      <c r="C346" s="247"/>
      <c r="D346" s="238"/>
      <c r="E346" s="254"/>
      <c r="F346" s="255"/>
      <c r="G346" s="238"/>
      <c r="H346" s="247"/>
      <c r="I346" s="238"/>
      <c r="J346" s="247"/>
      <c r="K346" s="247"/>
      <c r="L346" s="247"/>
      <c r="M346" s="238"/>
      <c r="N346" s="238"/>
      <c r="O346" s="251"/>
      <c r="P346" s="247"/>
      <c r="Q346" s="247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>
      <c r="A347" s="247"/>
      <c r="B347" s="247"/>
      <c r="C347" s="247"/>
      <c r="D347" s="238"/>
      <c r="E347" s="254"/>
      <c r="F347" s="255"/>
      <c r="G347" s="238"/>
      <c r="H347" s="247"/>
      <c r="I347" s="238"/>
      <c r="J347" s="247"/>
      <c r="K347" s="247"/>
      <c r="L347" s="247"/>
      <c r="M347" s="238"/>
      <c r="N347" s="238"/>
      <c r="O347" s="251"/>
      <c r="P347" s="247"/>
      <c r="Q347" s="247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>
      <c r="A348" s="247"/>
      <c r="B348" s="247"/>
      <c r="C348" s="247"/>
      <c r="D348" s="238"/>
      <c r="E348" s="254"/>
      <c r="F348" s="255"/>
      <c r="G348" s="238"/>
      <c r="H348" s="247"/>
      <c r="I348" s="238"/>
      <c r="J348" s="247"/>
      <c r="K348" s="247"/>
      <c r="L348" s="247"/>
      <c r="M348" s="238"/>
      <c r="N348" s="238"/>
      <c r="O348" s="251"/>
      <c r="P348" s="247"/>
      <c r="Q348" s="247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>
      <c r="A349" s="247"/>
      <c r="B349" s="247"/>
      <c r="C349" s="247"/>
      <c r="D349" s="238"/>
      <c r="E349" s="254"/>
      <c r="F349" s="255"/>
      <c r="G349" s="238"/>
      <c r="H349" s="247"/>
      <c r="I349" s="238"/>
      <c r="J349" s="247"/>
      <c r="K349" s="247"/>
      <c r="L349" s="247"/>
      <c r="M349" s="238"/>
      <c r="N349" s="238"/>
      <c r="O349" s="251"/>
      <c r="P349" s="247"/>
      <c r="Q349" s="247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>
      <c r="A350" s="247"/>
      <c r="B350" s="247"/>
      <c r="C350" s="247"/>
      <c r="D350" s="238"/>
      <c r="E350" s="254"/>
      <c r="F350" s="255"/>
      <c r="G350" s="238"/>
      <c r="H350" s="247"/>
      <c r="I350" s="238"/>
      <c r="J350" s="247"/>
      <c r="K350" s="247"/>
      <c r="L350" s="247"/>
      <c r="M350" s="238"/>
      <c r="N350" s="238"/>
      <c r="O350" s="251"/>
      <c r="P350" s="247"/>
      <c r="Q350" s="247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>
      <c r="A351" s="247"/>
      <c r="B351" s="247"/>
      <c r="C351" s="247"/>
      <c r="D351" s="238"/>
      <c r="E351" s="254"/>
      <c r="F351" s="255"/>
      <c r="G351" s="238"/>
      <c r="H351" s="247"/>
      <c r="I351" s="238"/>
      <c r="J351" s="247"/>
      <c r="K351" s="247"/>
      <c r="L351" s="247"/>
      <c r="M351" s="238"/>
      <c r="N351" s="238"/>
      <c r="O351" s="251"/>
      <c r="P351" s="247"/>
      <c r="Q351" s="247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>
      <c r="A352" s="247"/>
      <c r="B352" s="247"/>
      <c r="C352" s="247"/>
      <c r="D352" s="238"/>
      <c r="E352" s="254"/>
      <c r="F352" s="255"/>
      <c r="G352" s="238"/>
      <c r="H352" s="247"/>
      <c r="I352" s="238"/>
      <c r="J352" s="247"/>
      <c r="K352" s="247"/>
      <c r="L352" s="247"/>
      <c r="M352" s="238"/>
      <c r="N352" s="238"/>
      <c r="O352" s="251"/>
      <c r="P352" s="247"/>
      <c r="Q352" s="247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>
      <c r="A353" s="247"/>
      <c r="B353" s="247"/>
      <c r="C353" s="247"/>
      <c r="D353" s="238"/>
      <c r="E353" s="254"/>
      <c r="F353" s="255"/>
      <c r="G353" s="238"/>
      <c r="H353" s="247"/>
      <c r="I353" s="238"/>
      <c r="J353" s="247"/>
      <c r="K353" s="247"/>
      <c r="L353" s="247"/>
      <c r="M353" s="238"/>
      <c r="N353" s="238"/>
      <c r="O353" s="251"/>
      <c r="P353" s="247"/>
      <c r="Q353" s="247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>
      <c r="A354" s="247"/>
      <c r="B354" s="247"/>
      <c r="C354" s="247"/>
      <c r="D354" s="238"/>
      <c r="E354" s="254"/>
      <c r="F354" s="255"/>
      <c r="G354" s="238"/>
      <c r="H354" s="247"/>
      <c r="I354" s="238"/>
      <c r="J354" s="247"/>
      <c r="K354" s="247"/>
      <c r="L354" s="247"/>
      <c r="M354" s="238"/>
      <c r="N354" s="238"/>
      <c r="O354" s="251"/>
      <c r="P354" s="247"/>
      <c r="Q354" s="247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>
      <c r="A355" s="247"/>
      <c r="B355" s="247"/>
      <c r="C355" s="247"/>
      <c r="D355" s="238"/>
      <c r="E355" s="254"/>
      <c r="F355" s="255"/>
      <c r="G355" s="238"/>
      <c r="H355" s="247"/>
      <c r="I355" s="238"/>
      <c r="J355" s="247"/>
      <c r="K355" s="247"/>
      <c r="L355" s="247"/>
      <c r="M355" s="238"/>
      <c r="N355" s="238"/>
      <c r="O355" s="251"/>
      <c r="P355" s="247"/>
      <c r="Q355" s="247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>
      <c r="A356" s="247"/>
      <c r="B356" s="247"/>
      <c r="C356" s="247"/>
      <c r="D356" s="238"/>
      <c r="E356" s="254"/>
      <c r="F356" s="255"/>
      <c r="G356" s="238"/>
      <c r="H356" s="247"/>
      <c r="I356" s="238"/>
      <c r="J356" s="247"/>
      <c r="K356" s="247"/>
      <c r="L356" s="247"/>
      <c r="M356" s="238"/>
      <c r="N356" s="238"/>
      <c r="O356" s="251"/>
      <c r="P356" s="247"/>
      <c r="Q356" s="247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>
      <c r="A357" s="247"/>
      <c r="B357" s="247"/>
      <c r="C357" s="247"/>
      <c r="D357" s="238"/>
      <c r="E357" s="254"/>
      <c r="F357" s="255"/>
      <c r="G357" s="238"/>
      <c r="H357" s="247"/>
      <c r="I357" s="238"/>
      <c r="J357" s="247"/>
      <c r="K357" s="247"/>
      <c r="L357" s="247"/>
      <c r="M357" s="238"/>
      <c r="N357" s="238"/>
      <c r="O357" s="251"/>
      <c r="P357" s="247"/>
      <c r="Q357" s="247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>
      <c r="A358" s="247"/>
      <c r="B358" s="247"/>
      <c r="C358" s="247"/>
      <c r="D358" s="238"/>
      <c r="E358" s="254"/>
      <c r="F358" s="255"/>
      <c r="G358" s="238"/>
      <c r="H358" s="247"/>
      <c r="I358" s="238"/>
      <c r="J358" s="247"/>
      <c r="K358" s="247"/>
      <c r="L358" s="247"/>
      <c r="M358" s="238"/>
      <c r="N358" s="238"/>
      <c r="O358" s="251"/>
      <c r="P358" s="247"/>
      <c r="Q358" s="247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>
      <c r="A359" s="247"/>
      <c r="B359" s="247"/>
      <c r="C359" s="247"/>
      <c r="D359" s="238"/>
      <c r="E359" s="254"/>
      <c r="F359" s="255"/>
      <c r="G359" s="238"/>
      <c r="H359" s="247"/>
      <c r="I359" s="238"/>
      <c r="J359" s="247"/>
      <c r="K359" s="247"/>
      <c r="L359" s="247"/>
      <c r="M359" s="238"/>
      <c r="N359" s="238"/>
      <c r="O359" s="251"/>
      <c r="P359" s="247"/>
      <c r="Q359" s="247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>
      <c r="A360" s="247"/>
      <c r="B360" s="247"/>
      <c r="C360" s="247"/>
      <c r="D360" s="238"/>
      <c r="E360" s="254"/>
      <c r="F360" s="255"/>
      <c r="G360" s="238"/>
      <c r="H360" s="247"/>
      <c r="I360" s="238"/>
      <c r="J360" s="247"/>
      <c r="K360" s="247"/>
      <c r="L360" s="247"/>
      <c r="M360" s="238"/>
      <c r="N360" s="238"/>
      <c r="O360" s="251"/>
      <c r="P360" s="247"/>
      <c r="Q360" s="247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>
      <c r="A361" s="247"/>
      <c r="B361" s="247"/>
      <c r="C361" s="247"/>
      <c r="D361" s="238"/>
      <c r="E361" s="254"/>
      <c r="F361" s="255"/>
      <c r="G361" s="238"/>
      <c r="H361" s="247"/>
      <c r="I361" s="238"/>
      <c r="J361" s="247"/>
      <c r="K361" s="247"/>
      <c r="L361" s="247"/>
      <c r="M361" s="238"/>
      <c r="N361" s="238"/>
      <c r="O361" s="251"/>
      <c r="P361" s="247"/>
      <c r="Q361" s="247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>
      <c r="A362" s="247"/>
      <c r="B362" s="247"/>
      <c r="C362" s="247"/>
      <c r="D362" s="238"/>
      <c r="E362" s="254"/>
      <c r="F362" s="255"/>
      <c r="G362" s="238"/>
      <c r="H362" s="247"/>
      <c r="I362" s="238"/>
      <c r="J362" s="247"/>
      <c r="K362" s="247"/>
      <c r="L362" s="247"/>
      <c r="M362" s="238"/>
      <c r="N362" s="238"/>
      <c r="O362" s="251"/>
      <c r="P362" s="247"/>
      <c r="Q362" s="247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>
      <c r="A363" s="247"/>
      <c r="B363" s="247"/>
      <c r="C363" s="247"/>
      <c r="D363" s="238"/>
      <c r="E363" s="254"/>
      <c r="F363" s="255"/>
      <c r="G363" s="238"/>
      <c r="H363" s="247"/>
      <c r="I363" s="238"/>
      <c r="J363" s="247"/>
      <c r="K363" s="247"/>
      <c r="L363" s="247"/>
      <c r="M363" s="238"/>
      <c r="N363" s="238"/>
      <c r="O363" s="251"/>
      <c r="P363" s="247"/>
      <c r="Q363" s="247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>
      <c r="A364" s="247"/>
      <c r="B364" s="247"/>
      <c r="C364" s="247"/>
      <c r="D364" s="238"/>
      <c r="E364" s="254"/>
      <c r="F364" s="255"/>
      <c r="G364" s="238"/>
      <c r="H364" s="247"/>
      <c r="I364" s="238"/>
      <c r="J364" s="247"/>
      <c r="K364" s="247"/>
      <c r="L364" s="247"/>
      <c r="M364" s="238"/>
      <c r="N364" s="238"/>
      <c r="O364" s="251"/>
      <c r="P364" s="247"/>
      <c r="Q364" s="247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>
      <c r="A365" s="247"/>
      <c r="B365" s="247"/>
      <c r="C365" s="247"/>
      <c r="D365" s="238"/>
      <c r="E365" s="254"/>
      <c r="F365" s="255"/>
      <c r="G365" s="238"/>
      <c r="H365" s="247"/>
      <c r="I365" s="238"/>
      <c r="J365" s="247"/>
      <c r="K365" s="247"/>
      <c r="L365" s="247"/>
      <c r="M365" s="238"/>
      <c r="N365" s="238"/>
      <c r="O365" s="251"/>
      <c r="P365" s="247"/>
      <c r="Q365" s="247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>
      <c r="A366" s="247"/>
      <c r="B366" s="247"/>
      <c r="C366" s="247"/>
      <c r="D366" s="238"/>
      <c r="E366" s="254"/>
      <c r="F366" s="255"/>
      <c r="G366" s="238"/>
      <c r="H366" s="247"/>
      <c r="I366" s="238"/>
      <c r="J366" s="247"/>
      <c r="K366" s="247"/>
      <c r="L366" s="247"/>
      <c r="M366" s="238"/>
      <c r="N366" s="238"/>
      <c r="O366" s="251"/>
      <c r="P366" s="247"/>
      <c r="Q366" s="247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>
      <c r="A367" s="247"/>
      <c r="B367" s="247"/>
      <c r="C367" s="247"/>
      <c r="D367" s="238"/>
      <c r="E367" s="254"/>
      <c r="F367" s="255"/>
      <c r="G367" s="238"/>
      <c r="H367" s="247"/>
      <c r="I367" s="238"/>
      <c r="J367" s="247"/>
      <c r="K367" s="247"/>
      <c r="L367" s="247"/>
      <c r="M367" s="238"/>
      <c r="N367" s="238"/>
      <c r="O367" s="251"/>
      <c r="P367" s="247"/>
      <c r="Q367" s="247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>
      <c r="A368" s="247"/>
      <c r="B368" s="247"/>
      <c r="C368" s="247"/>
      <c r="D368" s="238"/>
      <c r="E368" s="254"/>
      <c r="F368" s="255"/>
      <c r="G368" s="238"/>
      <c r="H368" s="247"/>
      <c r="I368" s="238"/>
      <c r="J368" s="247"/>
      <c r="K368" s="247"/>
      <c r="L368" s="247"/>
      <c r="M368" s="238"/>
      <c r="N368" s="238"/>
      <c r="O368" s="251"/>
      <c r="P368" s="247"/>
      <c r="Q368" s="247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>
      <c r="A369" s="247"/>
      <c r="B369" s="247"/>
      <c r="C369" s="247"/>
      <c r="D369" s="238"/>
      <c r="E369" s="254"/>
      <c r="F369" s="255"/>
      <c r="G369" s="238"/>
      <c r="H369" s="247"/>
      <c r="I369" s="238"/>
      <c r="J369" s="247"/>
      <c r="K369" s="247"/>
      <c r="L369" s="247"/>
      <c r="M369" s="238"/>
      <c r="N369" s="238"/>
      <c r="O369" s="251"/>
      <c r="P369" s="247"/>
      <c r="Q369" s="247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>
      <c r="A370" s="247"/>
      <c r="B370" s="247"/>
      <c r="C370" s="247"/>
      <c r="D370" s="238"/>
      <c r="E370" s="254"/>
      <c r="F370" s="255"/>
      <c r="G370" s="238"/>
      <c r="H370" s="247"/>
      <c r="I370" s="238"/>
      <c r="J370" s="247"/>
      <c r="K370" s="247"/>
      <c r="L370" s="247"/>
      <c r="M370" s="238"/>
      <c r="N370" s="238"/>
      <c r="O370" s="251"/>
      <c r="P370" s="247"/>
      <c r="Q370" s="247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>
      <c r="A371" s="247"/>
      <c r="B371" s="247"/>
      <c r="C371" s="247"/>
      <c r="D371" s="238"/>
      <c r="E371" s="254"/>
      <c r="F371" s="255"/>
      <c r="G371" s="238"/>
      <c r="H371" s="247"/>
      <c r="I371" s="238"/>
      <c r="J371" s="247"/>
      <c r="K371" s="247"/>
      <c r="L371" s="247"/>
      <c r="M371" s="238"/>
      <c r="N371" s="238"/>
      <c r="O371" s="251"/>
      <c r="P371" s="247"/>
      <c r="Q371" s="247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>
      <c r="A372" s="247"/>
      <c r="B372" s="247"/>
      <c r="C372" s="247"/>
      <c r="D372" s="238"/>
      <c r="E372" s="254"/>
      <c r="F372" s="255"/>
      <c r="G372" s="238"/>
      <c r="H372" s="247"/>
      <c r="I372" s="238"/>
      <c r="J372" s="247"/>
      <c r="K372" s="247"/>
      <c r="L372" s="247"/>
      <c r="M372" s="238"/>
      <c r="N372" s="238"/>
      <c r="O372" s="251"/>
      <c r="P372" s="247"/>
      <c r="Q372" s="247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>
      <c r="A373" s="247"/>
      <c r="B373" s="247"/>
      <c r="C373" s="247"/>
      <c r="D373" s="238"/>
      <c r="E373" s="254"/>
      <c r="F373" s="255"/>
      <c r="G373" s="238"/>
      <c r="H373" s="247"/>
      <c r="I373" s="238"/>
      <c r="J373" s="247"/>
      <c r="K373" s="247"/>
      <c r="L373" s="247"/>
      <c r="M373" s="238"/>
      <c r="N373" s="238"/>
      <c r="O373" s="251"/>
      <c r="P373" s="247"/>
      <c r="Q373" s="247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>
      <c r="A374" s="247"/>
      <c r="B374" s="247"/>
      <c r="C374" s="247"/>
      <c r="D374" s="238"/>
      <c r="E374" s="254"/>
      <c r="F374" s="255"/>
      <c r="G374" s="238"/>
      <c r="H374" s="247"/>
      <c r="I374" s="238"/>
      <c r="J374" s="247"/>
      <c r="K374" s="247"/>
      <c r="L374" s="247"/>
      <c r="M374" s="238"/>
      <c r="N374" s="238"/>
      <c r="O374" s="251"/>
      <c r="P374" s="247"/>
      <c r="Q374" s="247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>
      <c r="A375" s="247"/>
      <c r="B375" s="247"/>
      <c r="C375" s="247"/>
      <c r="D375" s="238"/>
      <c r="E375" s="254"/>
      <c r="F375" s="255"/>
      <c r="G375" s="238"/>
      <c r="H375" s="247"/>
      <c r="I375" s="238"/>
      <c r="J375" s="247"/>
      <c r="K375" s="247"/>
      <c r="L375" s="247"/>
      <c r="M375" s="238"/>
      <c r="N375" s="238"/>
      <c r="O375" s="251"/>
      <c r="P375" s="247"/>
      <c r="Q375" s="247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>
      <c r="A376" s="247"/>
      <c r="B376" s="247"/>
      <c r="C376" s="247"/>
      <c r="D376" s="238"/>
      <c r="E376" s="254"/>
      <c r="F376" s="255"/>
      <c r="G376" s="238"/>
      <c r="H376" s="247"/>
      <c r="I376" s="238"/>
      <c r="J376" s="247"/>
      <c r="K376" s="247"/>
      <c r="L376" s="247"/>
      <c r="M376" s="238"/>
      <c r="N376" s="238"/>
      <c r="O376" s="251"/>
      <c r="P376" s="247"/>
      <c r="Q376" s="247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>
      <c r="A377" s="247"/>
      <c r="B377" s="247"/>
      <c r="C377" s="247"/>
      <c r="D377" s="238"/>
      <c r="E377" s="254"/>
      <c r="F377" s="255"/>
      <c r="G377" s="238"/>
      <c r="H377" s="247"/>
      <c r="I377" s="238"/>
      <c r="J377" s="247"/>
      <c r="K377" s="247"/>
      <c r="L377" s="247"/>
      <c r="M377" s="238"/>
      <c r="N377" s="238"/>
      <c r="O377" s="251"/>
      <c r="P377" s="247"/>
      <c r="Q377" s="247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>
      <c r="A378" s="247"/>
      <c r="B378" s="247"/>
      <c r="C378" s="247"/>
      <c r="D378" s="238"/>
      <c r="E378" s="254"/>
      <c r="F378" s="255"/>
      <c r="G378" s="238"/>
      <c r="H378" s="247"/>
      <c r="I378" s="238"/>
      <c r="J378" s="247"/>
      <c r="K378" s="247"/>
      <c r="L378" s="247"/>
      <c r="M378" s="238"/>
      <c r="N378" s="238"/>
      <c r="O378" s="251"/>
      <c r="P378" s="247"/>
      <c r="Q378" s="247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>
      <c r="A379" s="247"/>
      <c r="B379" s="247"/>
      <c r="C379" s="247"/>
      <c r="D379" s="238"/>
      <c r="E379" s="254"/>
      <c r="F379" s="255"/>
      <c r="G379" s="238"/>
      <c r="H379" s="247"/>
      <c r="I379" s="238"/>
      <c r="J379" s="247"/>
      <c r="K379" s="247"/>
      <c r="L379" s="247"/>
      <c r="M379" s="238"/>
      <c r="N379" s="238"/>
      <c r="O379" s="251"/>
      <c r="P379" s="247"/>
      <c r="Q379" s="247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>
      <c r="A380" s="247"/>
      <c r="B380" s="247"/>
      <c r="C380" s="247"/>
      <c r="D380" s="238"/>
      <c r="E380" s="254"/>
      <c r="F380" s="255"/>
      <c r="G380" s="238"/>
      <c r="H380" s="247"/>
      <c r="I380" s="238"/>
      <c r="J380" s="247"/>
      <c r="K380" s="247"/>
      <c r="L380" s="247"/>
      <c r="M380" s="238"/>
      <c r="N380" s="238"/>
      <c r="O380" s="251"/>
      <c r="P380" s="247"/>
      <c r="Q380" s="247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>
      <c r="A381" s="247"/>
      <c r="B381" s="247"/>
      <c r="C381" s="247"/>
      <c r="D381" s="238"/>
      <c r="E381" s="254"/>
      <c r="F381" s="255"/>
      <c r="G381" s="238"/>
      <c r="H381" s="247"/>
      <c r="I381" s="238"/>
      <c r="J381" s="247"/>
      <c r="K381" s="247"/>
      <c r="L381" s="247"/>
      <c r="M381" s="238"/>
      <c r="N381" s="238"/>
      <c r="O381" s="251"/>
      <c r="P381" s="247"/>
      <c r="Q381" s="247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>
      <c r="A382" s="247"/>
      <c r="B382" s="247"/>
      <c r="C382" s="247"/>
      <c r="D382" s="238"/>
      <c r="E382" s="254"/>
      <c r="F382" s="255"/>
      <c r="G382" s="238"/>
      <c r="H382" s="247"/>
      <c r="I382" s="238"/>
      <c r="J382" s="247"/>
      <c r="K382" s="247"/>
      <c r="L382" s="247"/>
      <c r="M382" s="238"/>
      <c r="N382" s="238"/>
      <c r="O382" s="251"/>
      <c r="P382" s="247"/>
      <c r="Q382" s="247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>
      <c r="A383" s="247"/>
      <c r="B383" s="247"/>
      <c r="C383" s="247"/>
      <c r="D383" s="238"/>
      <c r="E383" s="254"/>
      <c r="F383" s="255"/>
      <c r="G383" s="238"/>
      <c r="H383" s="247"/>
      <c r="I383" s="238"/>
      <c r="J383" s="247"/>
      <c r="K383" s="247"/>
      <c r="L383" s="247"/>
      <c r="M383" s="238"/>
      <c r="N383" s="238"/>
      <c r="O383" s="251"/>
      <c r="P383" s="247"/>
      <c r="Q383" s="247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>
      <c r="A384" s="247"/>
      <c r="B384" s="247"/>
      <c r="C384" s="247"/>
      <c r="D384" s="238"/>
      <c r="E384" s="254"/>
      <c r="F384" s="255"/>
      <c r="G384" s="238"/>
      <c r="H384" s="247"/>
      <c r="I384" s="238"/>
      <c r="J384" s="247"/>
      <c r="K384" s="247"/>
      <c r="L384" s="247"/>
      <c r="M384" s="238"/>
      <c r="N384" s="238"/>
      <c r="O384" s="251"/>
      <c r="P384" s="247"/>
      <c r="Q384" s="247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>
      <c r="A385" s="247"/>
      <c r="B385" s="247"/>
      <c r="C385" s="247"/>
      <c r="D385" s="238"/>
      <c r="E385" s="254"/>
      <c r="F385" s="255"/>
      <c r="G385" s="238"/>
      <c r="H385" s="247"/>
      <c r="I385" s="238"/>
      <c r="J385" s="247"/>
      <c r="K385" s="247"/>
      <c r="L385" s="247"/>
      <c r="M385" s="238"/>
      <c r="N385" s="238"/>
      <c r="O385" s="251"/>
      <c r="P385" s="247"/>
      <c r="Q385" s="247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>
      <c r="A386" s="247"/>
      <c r="B386" s="247"/>
      <c r="C386" s="247"/>
      <c r="D386" s="238"/>
      <c r="E386" s="254"/>
      <c r="F386" s="255"/>
      <c r="G386" s="238"/>
      <c r="H386" s="247"/>
      <c r="I386" s="238"/>
      <c r="J386" s="247"/>
      <c r="K386" s="247"/>
      <c r="L386" s="247"/>
      <c r="M386" s="238"/>
      <c r="N386" s="238"/>
      <c r="O386" s="251"/>
      <c r="P386" s="247"/>
      <c r="Q386" s="247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>
      <c r="A387" s="247"/>
      <c r="B387" s="247"/>
      <c r="C387" s="247"/>
      <c r="D387" s="238"/>
      <c r="E387" s="254"/>
      <c r="F387" s="255"/>
      <c r="G387" s="238"/>
      <c r="H387" s="247"/>
      <c r="I387" s="238"/>
      <c r="J387" s="247"/>
      <c r="K387" s="247"/>
      <c r="L387" s="247"/>
      <c r="M387" s="238"/>
      <c r="N387" s="238"/>
      <c r="O387" s="251"/>
      <c r="P387" s="247"/>
      <c r="Q387" s="247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>
      <c r="A388" s="247"/>
      <c r="B388" s="247"/>
      <c r="C388" s="247"/>
      <c r="D388" s="238"/>
      <c r="E388" s="254"/>
      <c r="F388" s="255"/>
      <c r="G388" s="238"/>
      <c r="H388" s="247"/>
      <c r="I388" s="238"/>
      <c r="J388" s="247"/>
      <c r="K388" s="247"/>
      <c r="L388" s="247"/>
      <c r="M388" s="238"/>
      <c r="N388" s="238"/>
      <c r="O388" s="251"/>
      <c r="P388" s="247"/>
      <c r="Q388" s="247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>
      <c r="A389" s="247"/>
      <c r="B389" s="247"/>
      <c r="C389" s="247"/>
      <c r="D389" s="238"/>
      <c r="E389" s="254"/>
      <c r="F389" s="255"/>
      <c r="G389" s="238"/>
      <c r="H389" s="247"/>
      <c r="I389" s="238"/>
      <c r="J389" s="247"/>
      <c r="K389" s="247"/>
      <c r="L389" s="247"/>
      <c r="M389" s="238"/>
      <c r="N389" s="238"/>
      <c r="O389" s="251"/>
      <c r="P389" s="247"/>
      <c r="Q389" s="247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>
      <c r="A390" s="247"/>
      <c r="B390" s="247"/>
      <c r="C390" s="247"/>
      <c r="D390" s="238"/>
      <c r="E390" s="254"/>
      <c r="F390" s="255"/>
      <c r="G390" s="238"/>
      <c r="H390" s="247"/>
      <c r="I390" s="238"/>
      <c r="J390" s="247"/>
      <c r="K390" s="247"/>
      <c r="L390" s="247"/>
      <c r="M390" s="238"/>
      <c r="N390" s="238"/>
      <c r="O390" s="251"/>
      <c r="P390" s="247"/>
      <c r="Q390" s="247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>
      <c r="A391" s="247"/>
      <c r="B391" s="247"/>
      <c r="C391" s="247"/>
      <c r="D391" s="238"/>
      <c r="E391" s="254"/>
      <c r="F391" s="255"/>
      <c r="G391" s="238"/>
      <c r="H391" s="247"/>
      <c r="I391" s="238"/>
      <c r="J391" s="247"/>
      <c r="K391" s="247"/>
      <c r="L391" s="247"/>
      <c r="M391" s="238"/>
      <c r="N391" s="238"/>
      <c r="O391" s="251"/>
      <c r="P391" s="247"/>
      <c r="Q391" s="247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>
      <c r="A392" s="247"/>
      <c r="B392" s="247"/>
      <c r="C392" s="247"/>
      <c r="D392" s="238"/>
      <c r="E392" s="254"/>
      <c r="F392" s="255"/>
      <c r="G392" s="238"/>
      <c r="H392" s="247"/>
      <c r="I392" s="238"/>
      <c r="J392" s="247"/>
      <c r="K392" s="247"/>
      <c r="L392" s="247"/>
      <c r="M392" s="238"/>
      <c r="N392" s="238"/>
      <c r="O392" s="251"/>
      <c r="P392" s="247"/>
      <c r="Q392" s="247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>
      <c r="A393" s="247"/>
      <c r="B393" s="247"/>
      <c r="C393" s="247"/>
      <c r="D393" s="238"/>
      <c r="E393" s="254"/>
      <c r="F393" s="255"/>
      <c r="G393" s="238"/>
      <c r="H393" s="247"/>
      <c r="I393" s="238"/>
      <c r="J393" s="247"/>
      <c r="K393" s="247"/>
      <c r="L393" s="247"/>
      <c r="M393" s="238"/>
      <c r="N393" s="238"/>
      <c r="O393" s="251"/>
      <c r="P393" s="247"/>
      <c r="Q393" s="247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>
      <c r="A394" s="247"/>
      <c r="B394" s="247"/>
      <c r="C394" s="247"/>
      <c r="D394" s="238"/>
      <c r="E394" s="254"/>
      <c r="F394" s="255"/>
      <c r="G394" s="238"/>
      <c r="H394" s="247"/>
      <c r="I394" s="238"/>
      <c r="J394" s="247"/>
      <c r="K394" s="247"/>
      <c r="L394" s="247"/>
      <c r="M394" s="238"/>
      <c r="N394" s="238"/>
      <c r="O394" s="251"/>
      <c r="P394" s="247"/>
      <c r="Q394" s="247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>
      <c r="A395" s="247"/>
      <c r="B395" s="247"/>
      <c r="C395" s="247"/>
      <c r="D395" s="238"/>
      <c r="E395" s="254"/>
      <c r="F395" s="255"/>
      <c r="G395" s="238"/>
      <c r="H395" s="247"/>
      <c r="I395" s="238"/>
      <c r="J395" s="247"/>
      <c r="K395" s="247"/>
      <c r="L395" s="247"/>
      <c r="M395" s="238"/>
      <c r="N395" s="238"/>
      <c r="O395" s="251"/>
      <c r="P395" s="247"/>
      <c r="Q395" s="247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>
      <c r="A396" s="247"/>
      <c r="B396" s="247"/>
      <c r="C396" s="247"/>
      <c r="D396" s="238"/>
      <c r="E396" s="254"/>
      <c r="F396" s="255"/>
      <c r="G396" s="238"/>
      <c r="H396" s="247"/>
      <c r="I396" s="238"/>
      <c r="J396" s="247"/>
      <c r="K396" s="247"/>
      <c r="L396" s="247"/>
      <c r="M396" s="238"/>
      <c r="N396" s="238"/>
      <c r="O396" s="251"/>
      <c r="P396" s="247"/>
      <c r="Q396" s="247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>
      <c r="A397" s="247"/>
      <c r="B397" s="247"/>
      <c r="C397" s="247"/>
      <c r="D397" s="238"/>
      <c r="E397" s="254"/>
      <c r="F397" s="255"/>
      <c r="G397" s="238"/>
      <c r="H397" s="247"/>
      <c r="I397" s="238"/>
      <c r="J397" s="247"/>
      <c r="K397" s="247"/>
      <c r="L397" s="247"/>
      <c r="M397" s="238"/>
      <c r="N397" s="238"/>
      <c r="O397" s="251"/>
      <c r="P397" s="247"/>
      <c r="Q397" s="247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>
      <c r="A398" s="247"/>
      <c r="B398" s="247"/>
      <c r="C398" s="247"/>
      <c r="D398" s="238"/>
      <c r="E398" s="254"/>
      <c r="F398" s="255"/>
      <c r="G398" s="238"/>
      <c r="H398" s="247"/>
      <c r="I398" s="238"/>
      <c r="J398" s="247"/>
      <c r="K398" s="247"/>
      <c r="L398" s="247"/>
      <c r="M398" s="238"/>
      <c r="N398" s="238"/>
      <c r="O398" s="251"/>
      <c r="P398" s="247"/>
      <c r="Q398" s="247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>
      <c r="A399" s="247"/>
      <c r="B399" s="247"/>
      <c r="C399" s="247"/>
      <c r="D399" s="238"/>
      <c r="E399" s="254"/>
      <c r="F399" s="255"/>
      <c r="G399" s="238"/>
      <c r="H399" s="247"/>
      <c r="I399" s="238"/>
      <c r="J399" s="247"/>
      <c r="K399" s="247"/>
      <c r="L399" s="247"/>
      <c r="M399" s="238"/>
      <c r="N399" s="238"/>
      <c r="O399" s="251"/>
      <c r="P399" s="247"/>
      <c r="Q399" s="247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>
      <c r="A400" s="247"/>
      <c r="B400" s="247"/>
      <c r="C400" s="247"/>
      <c r="D400" s="238"/>
      <c r="E400" s="254"/>
      <c r="F400" s="255"/>
      <c r="G400" s="238"/>
      <c r="H400" s="247"/>
      <c r="I400" s="238"/>
      <c r="J400" s="247"/>
      <c r="K400" s="247"/>
      <c r="L400" s="247"/>
      <c r="M400" s="238"/>
      <c r="N400" s="238"/>
      <c r="O400" s="251"/>
      <c r="P400" s="247"/>
      <c r="Q400" s="247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>
      <c r="A401" s="247"/>
      <c r="B401" s="247"/>
      <c r="C401" s="247"/>
      <c r="D401" s="238"/>
      <c r="E401" s="254"/>
      <c r="F401" s="255"/>
      <c r="G401" s="238"/>
      <c r="H401" s="247"/>
      <c r="I401" s="238"/>
      <c r="J401" s="247"/>
      <c r="K401" s="247"/>
      <c r="L401" s="247"/>
      <c r="M401" s="238"/>
      <c r="N401" s="238"/>
      <c r="O401" s="251"/>
      <c r="P401" s="247"/>
      <c r="Q401" s="247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>
      <c r="A402" s="247"/>
      <c r="B402" s="247"/>
      <c r="C402" s="247"/>
      <c r="D402" s="238"/>
      <c r="E402" s="254"/>
      <c r="F402" s="255"/>
      <c r="G402" s="238"/>
      <c r="H402" s="247"/>
      <c r="I402" s="238"/>
      <c r="J402" s="247"/>
      <c r="K402" s="247"/>
      <c r="L402" s="247"/>
      <c r="M402" s="238"/>
      <c r="N402" s="238"/>
      <c r="O402" s="251"/>
      <c r="P402" s="247"/>
      <c r="Q402" s="247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>
      <c r="A403" s="247"/>
      <c r="B403" s="247"/>
      <c r="C403" s="247"/>
      <c r="D403" s="238"/>
      <c r="E403" s="254"/>
      <c r="F403" s="255"/>
      <c r="G403" s="238"/>
      <c r="H403" s="247"/>
      <c r="I403" s="238"/>
      <c r="J403" s="247"/>
      <c r="K403" s="247"/>
      <c r="L403" s="247"/>
      <c r="M403" s="238"/>
      <c r="N403" s="238"/>
      <c r="O403" s="251"/>
      <c r="P403" s="247"/>
      <c r="Q403" s="247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>
      <c r="A404" s="247"/>
      <c r="B404" s="247"/>
      <c r="C404" s="247"/>
      <c r="D404" s="238"/>
      <c r="E404" s="254"/>
      <c r="F404" s="255"/>
      <c r="G404" s="238"/>
      <c r="H404" s="247"/>
      <c r="I404" s="238"/>
      <c r="J404" s="247"/>
      <c r="K404" s="247"/>
      <c r="L404" s="247"/>
      <c r="M404" s="238"/>
      <c r="N404" s="238"/>
      <c r="O404" s="251"/>
      <c r="P404" s="247"/>
      <c r="Q404" s="247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>
      <c r="A405" s="247"/>
      <c r="B405" s="247"/>
      <c r="C405" s="247"/>
      <c r="D405" s="238"/>
      <c r="E405" s="254"/>
      <c r="F405" s="255"/>
      <c r="G405" s="238"/>
      <c r="H405" s="247"/>
      <c r="I405" s="238"/>
      <c r="J405" s="247"/>
      <c r="K405" s="247"/>
      <c r="L405" s="247"/>
      <c r="M405" s="238"/>
      <c r="N405" s="238"/>
      <c r="O405" s="251"/>
      <c r="P405" s="247"/>
      <c r="Q405" s="247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>
      <c r="A406" s="247"/>
      <c r="B406" s="247"/>
      <c r="C406" s="247"/>
      <c r="D406" s="238"/>
      <c r="E406" s="254"/>
      <c r="F406" s="255"/>
      <c r="G406" s="238"/>
      <c r="H406" s="247"/>
      <c r="I406" s="238"/>
      <c r="J406" s="247"/>
      <c r="K406" s="247"/>
      <c r="L406" s="247"/>
      <c r="M406" s="238"/>
      <c r="N406" s="238"/>
      <c r="O406" s="251"/>
      <c r="P406" s="247"/>
      <c r="Q406" s="247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>
      <c r="A407" s="247"/>
      <c r="B407" s="247"/>
      <c r="C407" s="247"/>
      <c r="D407" s="238"/>
      <c r="E407" s="254"/>
      <c r="F407" s="255"/>
      <c r="G407" s="238"/>
      <c r="H407" s="247"/>
      <c r="I407" s="238"/>
      <c r="J407" s="247"/>
      <c r="K407" s="247"/>
      <c r="L407" s="247"/>
      <c r="M407" s="238"/>
      <c r="N407" s="238"/>
      <c r="O407" s="251"/>
      <c r="P407" s="247"/>
      <c r="Q407" s="247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>
      <c r="A408" s="247"/>
      <c r="B408" s="247"/>
      <c r="C408" s="247"/>
      <c r="D408" s="238"/>
      <c r="E408" s="254"/>
      <c r="F408" s="255"/>
      <c r="G408" s="238"/>
      <c r="H408" s="247"/>
      <c r="I408" s="238"/>
      <c r="J408" s="247"/>
      <c r="K408" s="247"/>
      <c r="L408" s="247"/>
      <c r="M408" s="238"/>
      <c r="N408" s="238"/>
      <c r="O408" s="251"/>
      <c r="P408" s="247"/>
      <c r="Q408" s="247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>
      <c r="A409" s="247"/>
      <c r="B409" s="247"/>
      <c r="C409" s="247"/>
      <c r="D409" s="238"/>
      <c r="E409" s="254"/>
      <c r="F409" s="255"/>
      <c r="G409" s="238"/>
      <c r="H409" s="247"/>
      <c r="I409" s="238"/>
      <c r="J409" s="247"/>
      <c r="K409" s="247"/>
      <c r="L409" s="247"/>
      <c r="M409" s="238"/>
      <c r="N409" s="238"/>
      <c r="O409" s="251"/>
      <c r="P409" s="247"/>
      <c r="Q409" s="247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>
      <c r="A410" s="247"/>
      <c r="B410" s="247"/>
      <c r="C410" s="247"/>
      <c r="D410" s="238"/>
      <c r="E410" s="254"/>
      <c r="F410" s="255"/>
      <c r="G410" s="238"/>
      <c r="H410" s="247"/>
      <c r="I410" s="238"/>
      <c r="J410" s="247"/>
      <c r="K410" s="247"/>
      <c r="L410" s="247"/>
      <c r="M410" s="238"/>
      <c r="N410" s="238"/>
      <c r="O410" s="251"/>
      <c r="P410" s="247"/>
      <c r="Q410" s="247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>
      <c r="A411" s="247"/>
      <c r="B411" s="247"/>
      <c r="C411" s="247"/>
      <c r="D411" s="238"/>
      <c r="E411" s="254"/>
      <c r="F411" s="255"/>
      <c r="G411" s="238"/>
      <c r="H411" s="247"/>
      <c r="I411" s="238"/>
      <c r="J411" s="247"/>
      <c r="K411" s="247"/>
      <c r="L411" s="247"/>
      <c r="M411" s="238"/>
      <c r="N411" s="238"/>
      <c r="O411" s="251"/>
      <c r="P411" s="247"/>
      <c r="Q411" s="247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>
      <c r="A412" s="247"/>
      <c r="B412" s="247"/>
      <c r="C412" s="247"/>
      <c r="D412" s="238"/>
      <c r="E412" s="254"/>
      <c r="F412" s="255"/>
      <c r="G412" s="238"/>
      <c r="H412" s="247"/>
      <c r="I412" s="238"/>
      <c r="J412" s="247"/>
      <c r="K412" s="247"/>
      <c r="L412" s="247"/>
      <c r="M412" s="238"/>
      <c r="N412" s="238"/>
      <c r="O412" s="251"/>
      <c r="P412" s="247"/>
      <c r="Q412" s="247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>
      <c r="A413" s="247"/>
      <c r="B413" s="247"/>
      <c r="C413" s="247"/>
      <c r="D413" s="238"/>
      <c r="E413" s="254"/>
      <c r="F413" s="255"/>
      <c r="G413" s="238"/>
      <c r="H413" s="247"/>
      <c r="I413" s="238"/>
      <c r="J413" s="247"/>
      <c r="K413" s="247"/>
      <c r="L413" s="247"/>
      <c r="M413" s="238"/>
      <c r="N413" s="238"/>
      <c r="O413" s="251"/>
      <c r="P413" s="247"/>
      <c r="Q413" s="247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>
      <c r="A414" s="247"/>
      <c r="B414" s="247"/>
      <c r="C414" s="247"/>
      <c r="D414" s="238"/>
      <c r="E414" s="254"/>
      <c r="F414" s="255"/>
      <c r="G414" s="238"/>
      <c r="H414" s="247"/>
      <c r="I414" s="238"/>
      <c r="J414" s="247"/>
      <c r="K414" s="247"/>
      <c r="L414" s="247"/>
      <c r="M414" s="238"/>
      <c r="N414" s="238"/>
      <c r="O414" s="251"/>
      <c r="P414" s="247"/>
      <c r="Q414" s="247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>
      <c r="A415" s="247"/>
      <c r="B415" s="247"/>
      <c r="C415" s="247"/>
      <c r="D415" s="238"/>
      <c r="E415" s="254"/>
      <c r="F415" s="255"/>
      <c r="G415" s="238"/>
      <c r="H415" s="247"/>
      <c r="I415" s="238"/>
      <c r="J415" s="247"/>
      <c r="K415" s="247"/>
      <c r="L415" s="247"/>
      <c r="M415" s="238"/>
      <c r="N415" s="238"/>
      <c r="O415" s="251"/>
      <c r="P415" s="247"/>
      <c r="Q415" s="247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>
      <c r="A416" s="247"/>
      <c r="B416" s="247"/>
      <c r="C416" s="247"/>
      <c r="D416" s="238"/>
      <c r="E416" s="254"/>
      <c r="F416" s="255"/>
      <c r="G416" s="238"/>
      <c r="H416" s="247"/>
      <c r="I416" s="238"/>
      <c r="J416" s="247"/>
      <c r="K416" s="247"/>
      <c r="L416" s="247"/>
      <c r="M416" s="238"/>
      <c r="N416" s="238"/>
      <c r="O416" s="251"/>
      <c r="P416" s="247"/>
      <c r="Q416" s="247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>
      <c r="A417" s="247"/>
      <c r="B417" s="247"/>
      <c r="C417" s="247"/>
      <c r="D417" s="238"/>
      <c r="E417" s="254"/>
      <c r="F417" s="255"/>
      <c r="G417" s="238"/>
      <c r="H417" s="247"/>
      <c r="I417" s="238"/>
      <c r="J417" s="247"/>
      <c r="K417" s="247"/>
      <c r="L417" s="247"/>
      <c r="M417" s="238"/>
      <c r="N417" s="238"/>
      <c r="O417" s="251"/>
      <c r="P417" s="247"/>
      <c r="Q417" s="247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>
      <c r="A418" s="247"/>
      <c r="B418" s="247"/>
      <c r="C418" s="247"/>
      <c r="D418" s="238"/>
      <c r="E418" s="254"/>
      <c r="F418" s="255"/>
      <c r="G418" s="238"/>
      <c r="H418" s="247"/>
      <c r="I418" s="238"/>
      <c r="J418" s="247"/>
      <c r="K418" s="247"/>
      <c r="L418" s="247"/>
      <c r="M418" s="238"/>
      <c r="N418" s="238"/>
      <c r="O418" s="251"/>
      <c r="P418" s="247"/>
      <c r="Q418" s="247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>
      <c r="A419" s="247"/>
      <c r="B419" s="247"/>
      <c r="C419" s="247"/>
      <c r="D419" s="238"/>
      <c r="E419" s="254"/>
      <c r="F419" s="255"/>
      <c r="G419" s="238"/>
      <c r="H419" s="247"/>
      <c r="I419" s="238"/>
      <c r="J419" s="247"/>
      <c r="K419" s="247"/>
      <c r="L419" s="247"/>
      <c r="M419" s="238"/>
      <c r="N419" s="238"/>
      <c r="O419" s="251"/>
      <c r="P419" s="247"/>
      <c r="Q419" s="247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>
      <c r="A420" s="247"/>
      <c r="B420" s="247"/>
      <c r="C420" s="247"/>
      <c r="D420" s="238"/>
      <c r="E420" s="254"/>
      <c r="F420" s="255"/>
      <c r="G420" s="238"/>
      <c r="H420" s="247"/>
      <c r="I420" s="238"/>
      <c r="J420" s="247"/>
      <c r="K420" s="247"/>
      <c r="L420" s="247"/>
      <c r="M420" s="238"/>
      <c r="N420" s="238"/>
      <c r="O420" s="251"/>
      <c r="P420" s="247"/>
      <c r="Q420" s="247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>
      <c r="A421" s="247"/>
      <c r="B421" s="247"/>
      <c r="C421" s="247"/>
      <c r="D421" s="238"/>
      <c r="E421" s="254"/>
      <c r="F421" s="255"/>
      <c r="G421" s="238"/>
      <c r="H421" s="247"/>
      <c r="I421" s="238"/>
      <c r="J421" s="247"/>
      <c r="K421" s="247"/>
      <c r="L421" s="247"/>
      <c r="M421" s="238"/>
      <c r="N421" s="238"/>
      <c r="O421" s="251"/>
      <c r="P421" s="247"/>
      <c r="Q421" s="247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>
      <c r="A422" s="247"/>
      <c r="B422" s="247"/>
      <c r="C422" s="247"/>
      <c r="D422" s="238"/>
      <c r="E422" s="254"/>
      <c r="F422" s="255"/>
      <c r="G422" s="238"/>
      <c r="H422" s="247"/>
      <c r="I422" s="238"/>
      <c r="J422" s="247"/>
      <c r="K422" s="247"/>
      <c r="L422" s="247"/>
      <c r="M422" s="238"/>
      <c r="N422" s="238"/>
      <c r="O422" s="251"/>
      <c r="P422" s="247"/>
      <c r="Q422" s="247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>
      <c r="A423" s="247"/>
      <c r="B423" s="247"/>
      <c r="C423" s="247"/>
      <c r="D423" s="238"/>
      <c r="E423" s="254"/>
      <c r="F423" s="255"/>
      <c r="G423" s="238"/>
      <c r="H423" s="247"/>
      <c r="I423" s="238"/>
      <c r="J423" s="247"/>
      <c r="K423" s="247"/>
      <c r="L423" s="247"/>
      <c r="M423" s="238"/>
      <c r="N423" s="238"/>
      <c r="O423" s="251"/>
      <c r="P423" s="247"/>
      <c r="Q423" s="247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>
      <c r="A424" s="247"/>
      <c r="B424" s="247"/>
      <c r="C424" s="247"/>
      <c r="D424" s="238"/>
      <c r="E424" s="254"/>
      <c r="F424" s="255"/>
      <c r="G424" s="238"/>
      <c r="H424" s="247"/>
      <c r="I424" s="238"/>
      <c r="J424" s="247"/>
      <c r="K424" s="247"/>
      <c r="L424" s="247"/>
      <c r="M424" s="238"/>
      <c r="N424" s="238"/>
      <c r="O424" s="251"/>
      <c r="P424" s="247"/>
      <c r="Q424" s="247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>
      <c r="A425" s="247"/>
      <c r="B425" s="247"/>
      <c r="C425" s="247"/>
      <c r="D425" s="238"/>
      <c r="E425" s="254"/>
      <c r="F425" s="255"/>
      <c r="G425" s="238"/>
      <c r="H425" s="247"/>
      <c r="I425" s="238"/>
      <c r="J425" s="247"/>
      <c r="K425" s="247"/>
      <c r="L425" s="247"/>
      <c r="M425" s="238"/>
      <c r="N425" s="238"/>
      <c r="O425" s="251"/>
      <c r="P425" s="247"/>
      <c r="Q425" s="247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>
      <c r="A426" s="247"/>
      <c r="B426" s="247"/>
      <c r="C426" s="247"/>
      <c r="D426" s="238"/>
      <c r="E426" s="254"/>
      <c r="F426" s="255"/>
      <c r="G426" s="238"/>
      <c r="H426" s="247"/>
      <c r="I426" s="238"/>
      <c r="J426" s="247"/>
      <c r="K426" s="247"/>
      <c r="L426" s="247"/>
      <c r="M426" s="238"/>
      <c r="N426" s="238"/>
      <c r="O426" s="251"/>
      <c r="P426" s="247"/>
      <c r="Q426" s="247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>
      <c r="A427" s="247"/>
      <c r="B427" s="247"/>
      <c r="C427" s="247"/>
      <c r="D427" s="238"/>
      <c r="E427" s="254"/>
      <c r="F427" s="255"/>
      <c r="G427" s="238"/>
      <c r="H427" s="247"/>
      <c r="I427" s="238"/>
      <c r="J427" s="247"/>
      <c r="K427" s="247"/>
      <c r="L427" s="247"/>
      <c r="M427" s="238"/>
      <c r="N427" s="238"/>
      <c r="O427" s="251"/>
      <c r="P427" s="247"/>
      <c r="Q427" s="247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>
      <c r="A428" s="247"/>
      <c r="B428" s="247"/>
      <c r="C428" s="247"/>
      <c r="D428" s="238"/>
      <c r="E428" s="254"/>
      <c r="F428" s="255"/>
      <c r="G428" s="238"/>
      <c r="H428" s="247"/>
      <c r="I428" s="238"/>
      <c r="J428" s="247"/>
      <c r="K428" s="247"/>
      <c r="L428" s="247"/>
      <c r="M428" s="238"/>
      <c r="N428" s="238"/>
      <c r="O428" s="251"/>
      <c r="P428" s="247"/>
      <c r="Q428" s="247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>
      <c r="A429" s="247"/>
      <c r="B429" s="247"/>
      <c r="C429" s="247"/>
      <c r="D429" s="238"/>
      <c r="E429" s="254"/>
      <c r="F429" s="255"/>
      <c r="G429" s="238"/>
      <c r="H429" s="247"/>
      <c r="I429" s="238"/>
      <c r="J429" s="247"/>
      <c r="K429" s="247"/>
      <c r="L429" s="247"/>
      <c r="M429" s="238"/>
      <c r="N429" s="238"/>
      <c r="O429" s="251"/>
      <c r="P429" s="247"/>
      <c r="Q429" s="247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>
      <c r="A430" s="247"/>
      <c r="B430" s="247"/>
      <c r="C430" s="247"/>
      <c r="D430" s="238"/>
      <c r="E430" s="254"/>
      <c r="F430" s="255"/>
      <c r="G430" s="238"/>
      <c r="H430" s="247"/>
      <c r="I430" s="238"/>
      <c r="J430" s="247"/>
      <c r="K430" s="247"/>
      <c r="L430" s="247"/>
      <c r="M430" s="238"/>
      <c r="N430" s="238"/>
      <c r="O430" s="251"/>
      <c r="P430" s="247"/>
      <c r="Q430" s="247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>
      <c r="A431" s="247"/>
      <c r="B431" s="247"/>
      <c r="C431" s="247"/>
      <c r="D431" s="238"/>
      <c r="E431" s="254"/>
      <c r="F431" s="255"/>
      <c r="G431" s="238"/>
      <c r="H431" s="247"/>
      <c r="I431" s="238"/>
      <c r="J431" s="247"/>
      <c r="K431" s="247"/>
      <c r="L431" s="247"/>
      <c r="M431" s="238"/>
      <c r="N431" s="238"/>
      <c r="O431" s="251"/>
      <c r="P431" s="247"/>
      <c r="Q431" s="247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>
      <c r="A432" s="247"/>
      <c r="B432" s="247"/>
      <c r="C432" s="247"/>
      <c r="D432" s="238"/>
      <c r="E432" s="254"/>
      <c r="F432" s="255"/>
      <c r="G432" s="238"/>
      <c r="H432" s="247"/>
      <c r="I432" s="238"/>
      <c r="J432" s="247"/>
      <c r="K432" s="247"/>
      <c r="L432" s="247"/>
      <c r="M432" s="238"/>
      <c r="N432" s="238"/>
      <c r="O432" s="251"/>
      <c r="P432" s="247"/>
      <c r="Q432" s="247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>
      <c r="A433" s="247"/>
      <c r="B433" s="247"/>
      <c r="C433" s="247"/>
      <c r="D433" s="238"/>
      <c r="E433" s="254"/>
      <c r="F433" s="255"/>
      <c r="G433" s="238"/>
      <c r="H433" s="247"/>
      <c r="I433" s="238"/>
      <c r="J433" s="247"/>
      <c r="K433" s="247"/>
      <c r="L433" s="247"/>
      <c r="M433" s="238"/>
      <c r="N433" s="238"/>
      <c r="O433" s="251"/>
      <c r="P433" s="247"/>
      <c r="Q433" s="247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>
      <c r="A434" s="247"/>
      <c r="B434" s="247"/>
      <c r="C434" s="247"/>
      <c r="D434" s="238"/>
      <c r="E434" s="254"/>
      <c r="F434" s="255"/>
      <c r="G434" s="238"/>
      <c r="H434" s="247"/>
      <c r="I434" s="238"/>
      <c r="J434" s="247"/>
      <c r="K434" s="247"/>
      <c r="L434" s="247"/>
      <c r="M434" s="238"/>
      <c r="N434" s="238"/>
      <c r="O434" s="251"/>
      <c r="P434" s="247"/>
      <c r="Q434" s="247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>
      <c r="A435" s="247"/>
      <c r="B435" s="247"/>
      <c r="C435" s="247"/>
      <c r="D435" s="238"/>
      <c r="E435" s="254"/>
      <c r="F435" s="255"/>
      <c r="G435" s="238"/>
      <c r="H435" s="247"/>
      <c r="I435" s="238"/>
      <c r="J435" s="247"/>
      <c r="K435" s="247"/>
      <c r="L435" s="247"/>
      <c r="M435" s="238"/>
      <c r="N435" s="238"/>
      <c r="O435" s="251"/>
      <c r="P435" s="247"/>
      <c r="Q435" s="247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>
      <c r="A436" s="247"/>
      <c r="B436" s="247"/>
      <c r="C436" s="247"/>
      <c r="D436" s="238"/>
      <c r="E436" s="254"/>
      <c r="F436" s="255"/>
      <c r="G436" s="238"/>
      <c r="H436" s="247"/>
      <c r="I436" s="238"/>
      <c r="J436" s="247"/>
      <c r="K436" s="247"/>
      <c r="L436" s="247"/>
      <c r="M436" s="238"/>
      <c r="N436" s="238"/>
      <c r="O436" s="251"/>
      <c r="P436" s="247"/>
      <c r="Q436" s="247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>
      <c r="A437" s="247"/>
      <c r="B437" s="247"/>
      <c r="C437" s="247"/>
      <c r="D437" s="238"/>
      <c r="E437" s="254"/>
      <c r="F437" s="255"/>
      <c r="G437" s="238"/>
      <c r="H437" s="247"/>
      <c r="I437" s="238"/>
      <c r="J437" s="247"/>
      <c r="K437" s="247"/>
      <c r="L437" s="247"/>
      <c r="M437" s="238"/>
      <c r="N437" s="238"/>
      <c r="O437" s="251"/>
      <c r="P437" s="247"/>
      <c r="Q437" s="247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>
      <c r="A438" s="247"/>
      <c r="B438" s="247"/>
      <c r="C438" s="247"/>
      <c r="D438" s="238"/>
      <c r="E438" s="254"/>
      <c r="F438" s="255"/>
      <c r="G438" s="238"/>
      <c r="H438" s="247"/>
      <c r="I438" s="238"/>
      <c r="J438" s="247"/>
      <c r="K438" s="247"/>
      <c r="L438" s="247"/>
      <c r="M438" s="238"/>
      <c r="N438" s="238"/>
      <c r="O438" s="251"/>
      <c r="P438" s="247"/>
      <c r="Q438" s="247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>
      <c r="A439" s="247"/>
      <c r="B439" s="247"/>
      <c r="C439" s="247"/>
      <c r="D439" s="238"/>
      <c r="E439" s="254"/>
      <c r="F439" s="255"/>
      <c r="G439" s="238"/>
      <c r="H439" s="247"/>
      <c r="I439" s="238"/>
      <c r="J439" s="247"/>
      <c r="K439" s="247"/>
      <c r="L439" s="247"/>
      <c r="M439" s="238"/>
      <c r="N439" s="238"/>
      <c r="O439" s="251"/>
      <c r="P439" s="247"/>
      <c r="Q439" s="247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>
      <c r="A440" s="247"/>
      <c r="B440" s="247"/>
      <c r="C440" s="247"/>
      <c r="D440" s="238"/>
      <c r="E440" s="254"/>
      <c r="F440" s="255"/>
      <c r="G440" s="238"/>
      <c r="H440" s="247"/>
      <c r="I440" s="238"/>
      <c r="J440" s="247"/>
      <c r="K440" s="247"/>
      <c r="L440" s="247"/>
      <c r="M440" s="238"/>
      <c r="N440" s="238"/>
      <c r="O440" s="251"/>
      <c r="P440" s="247"/>
      <c r="Q440" s="247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>
      <c r="A441" s="247"/>
      <c r="B441" s="247"/>
      <c r="C441" s="247"/>
      <c r="D441" s="238"/>
      <c r="E441" s="254"/>
      <c r="F441" s="255"/>
      <c r="G441" s="238"/>
      <c r="H441" s="247"/>
      <c r="I441" s="238"/>
      <c r="J441" s="247"/>
      <c r="K441" s="247"/>
      <c r="L441" s="247"/>
      <c r="M441" s="238"/>
      <c r="N441" s="238"/>
      <c r="O441" s="251"/>
      <c r="P441" s="247"/>
      <c r="Q441" s="247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>
      <c r="A442" s="247"/>
      <c r="B442" s="247"/>
      <c r="C442" s="247"/>
      <c r="D442" s="238"/>
      <c r="E442" s="254"/>
      <c r="F442" s="255"/>
      <c r="G442" s="238"/>
      <c r="H442" s="247"/>
      <c r="I442" s="238"/>
      <c r="J442" s="247"/>
      <c r="K442" s="247"/>
      <c r="L442" s="247"/>
      <c r="M442" s="238"/>
      <c r="N442" s="238"/>
      <c r="O442" s="251"/>
      <c r="P442" s="247"/>
      <c r="Q442" s="247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>
      <c r="A443" s="247"/>
      <c r="B443" s="247"/>
      <c r="C443" s="247"/>
      <c r="D443" s="238"/>
      <c r="E443" s="254"/>
      <c r="F443" s="255"/>
      <c r="G443" s="238"/>
      <c r="H443" s="247"/>
      <c r="I443" s="238"/>
      <c r="J443" s="247"/>
      <c r="K443" s="247"/>
      <c r="L443" s="247"/>
      <c r="M443" s="238"/>
      <c r="N443" s="238"/>
      <c r="O443" s="251"/>
      <c r="P443" s="247"/>
      <c r="Q443" s="247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>
      <c r="A444" s="247"/>
      <c r="B444" s="247"/>
      <c r="C444" s="247"/>
      <c r="D444" s="238"/>
      <c r="E444" s="254"/>
      <c r="F444" s="255"/>
      <c r="G444" s="238"/>
      <c r="H444" s="247"/>
      <c r="I444" s="238"/>
      <c r="J444" s="247"/>
      <c r="K444" s="247"/>
      <c r="L444" s="247"/>
      <c r="M444" s="238"/>
      <c r="N444" s="238"/>
      <c r="O444" s="251"/>
      <c r="P444" s="247"/>
      <c r="Q444" s="247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>
      <c r="A445" s="247"/>
      <c r="B445" s="247"/>
      <c r="C445" s="247"/>
      <c r="D445" s="238"/>
      <c r="E445" s="254"/>
      <c r="F445" s="255"/>
      <c r="G445" s="238"/>
      <c r="H445" s="247"/>
      <c r="I445" s="238"/>
      <c r="J445" s="247"/>
      <c r="K445" s="247"/>
      <c r="L445" s="247"/>
      <c r="M445" s="238"/>
      <c r="N445" s="238"/>
      <c r="O445" s="251"/>
      <c r="P445" s="247"/>
      <c r="Q445" s="247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>
      <c r="A446" s="247"/>
      <c r="B446" s="247"/>
      <c r="C446" s="247"/>
      <c r="D446" s="238"/>
      <c r="E446" s="254"/>
      <c r="F446" s="255"/>
      <c r="G446" s="238"/>
      <c r="H446" s="247"/>
      <c r="I446" s="238"/>
      <c r="J446" s="247"/>
      <c r="K446" s="247"/>
      <c r="L446" s="247"/>
      <c r="M446" s="238"/>
      <c r="N446" s="238"/>
      <c r="O446" s="251"/>
      <c r="P446" s="247"/>
      <c r="Q446" s="247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>
      <c r="A447" s="247"/>
      <c r="B447" s="247"/>
      <c r="C447" s="247"/>
      <c r="D447" s="238"/>
      <c r="E447" s="254"/>
      <c r="F447" s="255"/>
      <c r="G447" s="238"/>
      <c r="H447" s="247"/>
      <c r="I447" s="238"/>
      <c r="J447" s="247"/>
      <c r="K447" s="247"/>
      <c r="L447" s="247"/>
      <c r="M447" s="238"/>
      <c r="N447" s="238"/>
      <c r="O447" s="251"/>
      <c r="P447" s="247"/>
      <c r="Q447" s="247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>
      <c r="A448" s="247"/>
      <c r="B448" s="247"/>
      <c r="C448" s="247"/>
      <c r="D448" s="238"/>
      <c r="E448" s="254"/>
      <c r="F448" s="255"/>
      <c r="G448" s="238"/>
      <c r="H448" s="247"/>
      <c r="I448" s="238"/>
      <c r="J448" s="247"/>
      <c r="K448" s="247"/>
      <c r="L448" s="247"/>
      <c r="M448" s="238"/>
      <c r="N448" s="238"/>
      <c r="O448" s="251"/>
      <c r="P448" s="247"/>
      <c r="Q448" s="247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>
      <c r="A449" s="247"/>
      <c r="B449" s="247"/>
      <c r="C449" s="247"/>
      <c r="D449" s="238"/>
      <c r="E449" s="254"/>
      <c r="F449" s="255"/>
      <c r="G449" s="238"/>
      <c r="H449" s="247"/>
      <c r="I449" s="238"/>
      <c r="J449" s="247"/>
      <c r="K449" s="247"/>
      <c r="L449" s="247"/>
      <c r="M449" s="238"/>
      <c r="N449" s="238"/>
      <c r="O449" s="251"/>
      <c r="P449" s="247"/>
      <c r="Q449" s="247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>
      <c r="A450" s="247"/>
      <c r="B450" s="247"/>
      <c r="C450" s="247"/>
      <c r="D450" s="238"/>
      <c r="E450" s="254"/>
      <c r="F450" s="255"/>
      <c r="G450" s="238"/>
      <c r="H450" s="247"/>
      <c r="I450" s="238"/>
      <c r="J450" s="247"/>
      <c r="K450" s="247"/>
      <c r="L450" s="247"/>
      <c r="M450" s="238"/>
      <c r="N450" s="238"/>
      <c r="O450" s="251"/>
      <c r="P450" s="247"/>
      <c r="Q450" s="247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>
      <c r="A451" s="247"/>
      <c r="B451" s="247"/>
      <c r="C451" s="247"/>
      <c r="D451" s="238"/>
      <c r="E451" s="254"/>
      <c r="F451" s="255"/>
      <c r="G451" s="238"/>
      <c r="H451" s="247"/>
      <c r="I451" s="238"/>
      <c r="J451" s="247"/>
      <c r="K451" s="247"/>
      <c r="L451" s="247"/>
      <c r="M451" s="238"/>
      <c r="N451" s="238"/>
      <c r="O451" s="251"/>
      <c r="P451" s="247"/>
      <c r="Q451" s="247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>
      <c r="A452" s="247"/>
      <c r="B452" s="247"/>
      <c r="C452" s="247"/>
      <c r="D452" s="238"/>
      <c r="E452" s="254"/>
      <c r="F452" s="255"/>
      <c r="G452" s="238"/>
      <c r="H452" s="247"/>
      <c r="I452" s="238"/>
      <c r="J452" s="247"/>
      <c r="K452" s="247"/>
      <c r="L452" s="247"/>
      <c r="M452" s="238"/>
      <c r="N452" s="238"/>
      <c r="O452" s="251"/>
      <c r="P452" s="247"/>
      <c r="Q452" s="247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>
      <c r="A453" s="247"/>
      <c r="B453" s="247"/>
      <c r="C453" s="247"/>
      <c r="D453" s="238"/>
      <c r="E453" s="254"/>
      <c r="F453" s="255"/>
      <c r="G453" s="238"/>
      <c r="H453" s="247"/>
      <c r="I453" s="238"/>
      <c r="J453" s="247"/>
      <c r="K453" s="247"/>
      <c r="L453" s="247"/>
      <c r="M453" s="238"/>
      <c r="N453" s="238"/>
      <c r="O453" s="251"/>
      <c r="P453" s="247"/>
      <c r="Q453" s="247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>
      <c r="A454" s="247"/>
      <c r="B454" s="247"/>
      <c r="C454" s="247"/>
      <c r="D454" s="238"/>
      <c r="E454" s="254"/>
      <c r="F454" s="255"/>
      <c r="G454" s="238"/>
      <c r="H454" s="247"/>
      <c r="I454" s="238"/>
      <c r="J454" s="247"/>
      <c r="K454" s="247"/>
      <c r="L454" s="247"/>
      <c r="M454" s="238"/>
      <c r="N454" s="238"/>
      <c r="O454" s="251"/>
      <c r="P454" s="247"/>
      <c r="Q454" s="247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>
      <c r="A455" s="247"/>
      <c r="B455" s="247"/>
      <c r="C455" s="247"/>
      <c r="D455" s="238"/>
      <c r="E455" s="254"/>
      <c r="F455" s="255"/>
      <c r="G455" s="238"/>
      <c r="H455" s="247"/>
      <c r="I455" s="238"/>
      <c r="J455" s="247"/>
      <c r="K455" s="247"/>
      <c r="L455" s="247"/>
      <c r="M455" s="238"/>
      <c r="N455" s="238"/>
      <c r="O455" s="251"/>
      <c r="P455" s="247"/>
      <c r="Q455" s="247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>
      <c r="A456" s="247"/>
      <c r="B456" s="247"/>
      <c r="C456" s="247"/>
      <c r="D456" s="238"/>
      <c r="E456" s="254"/>
      <c r="F456" s="255"/>
      <c r="G456" s="238"/>
      <c r="H456" s="247"/>
      <c r="I456" s="238"/>
      <c r="J456" s="247"/>
      <c r="K456" s="247"/>
      <c r="L456" s="247"/>
      <c r="M456" s="238"/>
      <c r="N456" s="238"/>
      <c r="O456" s="251"/>
      <c r="P456" s="247"/>
      <c r="Q456" s="247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>
      <c r="A457" s="247"/>
      <c r="B457" s="247"/>
      <c r="C457" s="247"/>
      <c r="D457" s="238"/>
      <c r="E457" s="254"/>
      <c r="F457" s="255"/>
      <c r="G457" s="238"/>
      <c r="H457" s="247"/>
      <c r="I457" s="238"/>
      <c r="J457" s="247"/>
      <c r="K457" s="247"/>
      <c r="L457" s="247"/>
      <c r="M457" s="238"/>
      <c r="N457" s="238"/>
      <c r="O457" s="251"/>
      <c r="P457" s="247"/>
      <c r="Q457" s="247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>
      <c r="A458" s="247"/>
      <c r="B458" s="247"/>
      <c r="C458" s="247"/>
      <c r="D458" s="238"/>
      <c r="E458" s="254"/>
      <c r="F458" s="255"/>
      <c r="G458" s="238"/>
      <c r="H458" s="247"/>
      <c r="I458" s="238"/>
      <c r="J458" s="247"/>
      <c r="K458" s="247"/>
      <c r="L458" s="247"/>
      <c r="M458" s="238"/>
      <c r="N458" s="238"/>
      <c r="O458" s="251"/>
      <c r="P458" s="247"/>
      <c r="Q458" s="247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>
      <c r="A459" s="247"/>
      <c r="B459" s="247"/>
      <c r="C459" s="247"/>
      <c r="D459" s="238"/>
      <c r="E459" s="254"/>
      <c r="F459" s="255"/>
      <c r="G459" s="238"/>
      <c r="H459" s="247"/>
      <c r="I459" s="238"/>
      <c r="J459" s="247"/>
      <c r="K459" s="247"/>
      <c r="L459" s="247"/>
      <c r="M459" s="238"/>
      <c r="N459" s="238"/>
      <c r="O459" s="251"/>
      <c r="P459" s="247"/>
      <c r="Q459" s="247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>
      <c r="A460" s="247"/>
      <c r="B460" s="247"/>
      <c r="C460" s="247"/>
      <c r="D460" s="238"/>
      <c r="E460" s="254"/>
      <c r="F460" s="255"/>
      <c r="G460" s="238"/>
      <c r="H460" s="247"/>
      <c r="I460" s="238"/>
      <c r="J460" s="247"/>
      <c r="K460" s="247"/>
      <c r="L460" s="247"/>
      <c r="M460" s="238"/>
      <c r="N460" s="238"/>
      <c r="O460" s="251"/>
      <c r="P460" s="247"/>
      <c r="Q460" s="247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>
      <c r="A461" s="247"/>
      <c r="B461" s="247"/>
      <c r="C461" s="247"/>
      <c r="D461" s="238"/>
      <c r="E461" s="254"/>
      <c r="F461" s="255"/>
      <c r="G461" s="238"/>
      <c r="H461" s="247"/>
      <c r="I461" s="238"/>
      <c r="J461" s="247"/>
      <c r="K461" s="247"/>
      <c r="L461" s="247"/>
      <c r="M461" s="238"/>
      <c r="N461" s="238"/>
      <c r="O461" s="251"/>
      <c r="P461" s="247"/>
      <c r="Q461" s="247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>
      <c r="A462" s="247"/>
      <c r="B462" s="247"/>
      <c r="C462" s="247"/>
      <c r="D462" s="238"/>
      <c r="E462" s="254"/>
      <c r="F462" s="255"/>
      <c r="G462" s="238"/>
      <c r="H462" s="247"/>
      <c r="I462" s="238"/>
      <c r="J462" s="247"/>
      <c r="K462" s="247"/>
      <c r="L462" s="247"/>
      <c r="M462" s="238"/>
      <c r="N462" s="238"/>
      <c r="O462" s="251"/>
      <c r="P462" s="247"/>
      <c r="Q462" s="247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>
      <c r="A463" s="247"/>
      <c r="B463" s="247"/>
      <c r="C463" s="247"/>
      <c r="D463" s="238"/>
      <c r="E463" s="254"/>
      <c r="F463" s="255"/>
      <c r="G463" s="238"/>
      <c r="H463" s="247"/>
      <c r="I463" s="238"/>
      <c r="J463" s="247"/>
      <c r="K463" s="247"/>
      <c r="L463" s="247"/>
      <c r="M463" s="238"/>
      <c r="N463" s="238"/>
      <c r="O463" s="251"/>
      <c r="P463" s="247"/>
      <c r="Q463" s="247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>
      <c r="A464" s="247"/>
      <c r="B464" s="247"/>
      <c r="C464" s="247"/>
      <c r="D464" s="238"/>
      <c r="E464" s="254"/>
      <c r="F464" s="255"/>
      <c r="G464" s="238"/>
      <c r="H464" s="247"/>
      <c r="I464" s="238"/>
      <c r="J464" s="247"/>
      <c r="K464" s="247"/>
      <c r="L464" s="247"/>
      <c r="M464" s="238"/>
      <c r="N464" s="238"/>
      <c r="O464" s="251"/>
      <c r="P464" s="247"/>
      <c r="Q464" s="247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>
      <c r="A465" s="247"/>
      <c r="B465" s="247"/>
      <c r="C465" s="247"/>
      <c r="D465" s="238"/>
      <c r="E465" s="254"/>
      <c r="F465" s="255"/>
      <c r="G465" s="238"/>
      <c r="H465" s="247"/>
      <c r="I465" s="238"/>
      <c r="J465" s="247"/>
      <c r="K465" s="247"/>
      <c r="L465" s="247"/>
      <c r="M465" s="238"/>
      <c r="N465" s="238"/>
      <c r="O465" s="251"/>
      <c r="P465" s="247"/>
      <c r="Q465" s="247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>
      <c r="A466" s="247"/>
      <c r="B466" s="247"/>
      <c r="C466" s="247"/>
      <c r="D466" s="238"/>
      <c r="E466" s="254"/>
      <c r="F466" s="255"/>
      <c r="G466" s="238"/>
      <c r="H466" s="247"/>
      <c r="I466" s="238"/>
      <c r="J466" s="247"/>
      <c r="K466" s="247"/>
      <c r="L466" s="247"/>
      <c r="M466" s="238"/>
      <c r="N466" s="238"/>
      <c r="O466" s="251"/>
      <c r="P466" s="247"/>
      <c r="Q466" s="247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>
      <c r="A467" s="247"/>
      <c r="B467" s="247"/>
      <c r="C467" s="247"/>
      <c r="D467" s="238"/>
      <c r="E467" s="254"/>
      <c r="F467" s="255"/>
      <c r="G467" s="238"/>
      <c r="H467" s="247"/>
      <c r="I467" s="238"/>
      <c r="J467" s="247"/>
      <c r="K467" s="247"/>
      <c r="L467" s="247"/>
      <c r="M467" s="238"/>
      <c r="N467" s="238"/>
      <c r="O467" s="251"/>
      <c r="P467" s="247"/>
      <c r="Q467" s="247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>
      <c r="A468" s="247"/>
      <c r="B468" s="247"/>
      <c r="C468" s="247"/>
      <c r="D468" s="238"/>
      <c r="E468" s="254"/>
      <c r="F468" s="255"/>
      <c r="G468" s="238"/>
      <c r="H468" s="247"/>
      <c r="I468" s="238"/>
      <c r="J468" s="247"/>
      <c r="K468" s="247"/>
      <c r="L468" s="247"/>
      <c r="M468" s="238"/>
      <c r="N468" s="238"/>
      <c r="O468" s="251"/>
      <c r="P468" s="247"/>
      <c r="Q468" s="247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>
      <c r="A469" s="247"/>
      <c r="B469" s="247"/>
      <c r="C469" s="247"/>
      <c r="D469" s="238"/>
      <c r="E469" s="254"/>
      <c r="F469" s="255"/>
      <c r="G469" s="238"/>
      <c r="H469" s="247"/>
      <c r="I469" s="238"/>
      <c r="J469" s="247"/>
      <c r="K469" s="247"/>
      <c r="L469" s="247"/>
      <c r="M469" s="238"/>
      <c r="N469" s="238"/>
      <c r="O469" s="251"/>
      <c r="P469" s="247"/>
      <c r="Q469" s="247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>
      <c r="A470" s="247"/>
      <c r="B470" s="247"/>
      <c r="C470" s="247"/>
      <c r="D470" s="238"/>
      <c r="E470" s="254"/>
      <c r="F470" s="255"/>
      <c r="G470" s="238"/>
      <c r="H470" s="247"/>
      <c r="I470" s="238"/>
      <c r="J470" s="247"/>
      <c r="K470" s="247"/>
      <c r="L470" s="247"/>
      <c r="M470" s="238"/>
      <c r="N470" s="238"/>
      <c r="O470" s="251"/>
      <c r="P470" s="247"/>
      <c r="Q470" s="247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>
      <c r="A471" s="247"/>
      <c r="B471" s="247"/>
      <c r="C471" s="247"/>
      <c r="D471" s="238"/>
      <c r="E471" s="254"/>
      <c r="F471" s="255"/>
      <c r="G471" s="238"/>
      <c r="H471" s="247"/>
      <c r="I471" s="238"/>
      <c r="J471" s="247"/>
      <c r="K471" s="247"/>
      <c r="L471" s="247"/>
      <c r="M471" s="238"/>
      <c r="N471" s="238"/>
      <c r="O471" s="251"/>
      <c r="P471" s="247"/>
      <c r="Q471" s="247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>
      <c r="A472" s="247"/>
      <c r="B472" s="247"/>
      <c r="C472" s="247"/>
      <c r="D472" s="238"/>
      <c r="E472" s="254"/>
      <c r="F472" s="255"/>
      <c r="G472" s="238"/>
      <c r="H472" s="247"/>
      <c r="I472" s="238"/>
      <c r="J472" s="247"/>
      <c r="K472" s="247"/>
      <c r="L472" s="247"/>
      <c r="M472" s="238"/>
      <c r="N472" s="238"/>
      <c r="O472" s="251"/>
      <c r="P472" s="247"/>
      <c r="Q472" s="247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>
      <c r="A473" s="247"/>
      <c r="B473" s="247"/>
      <c r="C473" s="247"/>
      <c r="D473" s="238"/>
      <c r="E473" s="254"/>
      <c r="F473" s="255"/>
      <c r="G473" s="238"/>
      <c r="H473" s="247"/>
      <c r="I473" s="238"/>
      <c r="J473" s="247"/>
      <c r="K473" s="247"/>
      <c r="L473" s="247"/>
      <c r="M473" s="238"/>
      <c r="N473" s="238"/>
      <c r="O473" s="251"/>
      <c r="P473" s="247"/>
      <c r="Q473" s="247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>
      <c r="A474" s="247"/>
      <c r="B474" s="247"/>
      <c r="C474" s="247"/>
      <c r="D474" s="238"/>
      <c r="E474" s="254"/>
      <c r="F474" s="255"/>
      <c r="G474" s="238"/>
      <c r="H474" s="247"/>
      <c r="I474" s="238"/>
      <c r="J474" s="247"/>
      <c r="K474" s="247"/>
      <c r="L474" s="247"/>
      <c r="M474" s="238"/>
      <c r="N474" s="238"/>
      <c r="O474" s="251"/>
      <c r="P474" s="247"/>
      <c r="Q474" s="247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>
      <c r="A475" s="247"/>
      <c r="B475" s="247"/>
      <c r="C475" s="247"/>
      <c r="D475" s="238"/>
      <c r="E475" s="254"/>
      <c r="F475" s="255"/>
      <c r="G475" s="238"/>
      <c r="H475" s="247"/>
      <c r="I475" s="238"/>
      <c r="J475" s="247"/>
      <c r="K475" s="247"/>
      <c r="L475" s="247"/>
      <c r="M475" s="238"/>
      <c r="N475" s="238"/>
      <c r="O475" s="251"/>
      <c r="P475" s="247"/>
      <c r="Q475" s="247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>
      <c r="A476" s="247"/>
      <c r="B476" s="247"/>
      <c r="C476" s="247"/>
      <c r="D476" s="238"/>
      <c r="E476" s="254"/>
      <c r="F476" s="255"/>
      <c r="G476" s="238"/>
      <c r="H476" s="247"/>
      <c r="I476" s="238"/>
      <c r="J476" s="247"/>
      <c r="K476" s="247"/>
      <c r="L476" s="247"/>
      <c r="M476" s="238"/>
      <c r="N476" s="238"/>
      <c r="O476" s="251"/>
      <c r="P476" s="247"/>
      <c r="Q476" s="247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>
      <c r="A477" s="247"/>
      <c r="B477" s="247"/>
      <c r="C477" s="247"/>
      <c r="D477" s="238"/>
      <c r="E477" s="254"/>
      <c r="F477" s="255"/>
      <c r="G477" s="238"/>
      <c r="H477" s="247"/>
      <c r="I477" s="238"/>
      <c r="J477" s="247"/>
      <c r="K477" s="247"/>
      <c r="L477" s="247"/>
      <c r="M477" s="238"/>
      <c r="N477" s="238"/>
      <c r="O477" s="251"/>
      <c r="P477" s="247"/>
      <c r="Q477" s="247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>
      <c r="A478" s="247"/>
      <c r="B478" s="247"/>
      <c r="C478" s="247"/>
      <c r="D478" s="238"/>
      <c r="E478" s="254"/>
      <c r="F478" s="255"/>
      <c r="G478" s="238"/>
      <c r="H478" s="247"/>
      <c r="I478" s="238"/>
      <c r="J478" s="247"/>
      <c r="K478" s="247"/>
      <c r="L478" s="247"/>
      <c r="M478" s="238"/>
      <c r="N478" s="238"/>
      <c r="O478" s="251"/>
      <c r="P478" s="247"/>
      <c r="Q478" s="247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>
      <c r="A479" s="247"/>
      <c r="B479" s="247"/>
      <c r="C479" s="247"/>
      <c r="D479" s="238"/>
      <c r="E479" s="254"/>
      <c r="F479" s="255"/>
      <c r="G479" s="238"/>
      <c r="H479" s="247"/>
      <c r="I479" s="238"/>
      <c r="J479" s="247"/>
      <c r="K479" s="247"/>
      <c r="L479" s="247"/>
      <c r="M479" s="238"/>
      <c r="N479" s="238"/>
      <c r="O479" s="251"/>
      <c r="P479" s="247"/>
      <c r="Q479" s="247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>
      <c r="A480" s="247"/>
      <c r="B480" s="247"/>
      <c r="C480" s="247"/>
      <c r="D480" s="238"/>
      <c r="E480" s="254"/>
      <c r="F480" s="255"/>
      <c r="G480" s="238"/>
      <c r="H480" s="247"/>
      <c r="I480" s="238"/>
      <c r="J480" s="247"/>
      <c r="K480" s="247"/>
      <c r="L480" s="247"/>
      <c r="M480" s="238"/>
      <c r="N480" s="238"/>
      <c r="O480" s="251"/>
      <c r="P480" s="247"/>
      <c r="Q480" s="247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>
      <c r="A481" s="247"/>
      <c r="B481" s="247"/>
      <c r="C481" s="247"/>
      <c r="D481" s="238"/>
      <c r="E481" s="254"/>
      <c r="F481" s="255"/>
      <c r="G481" s="238"/>
      <c r="H481" s="247"/>
      <c r="I481" s="238"/>
      <c r="J481" s="247"/>
      <c r="K481" s="247"/>
      <c r="L481" s="247"/>
      <c r="M481" s="238"/>
      <c r="N481" s="238"/>
      <c r="O481" s="251"/>
      <c r="P481" s="247"/>
      <c r="Q481" s="247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>
      <c r="A482" s="247"/>
      <c r="B482" s="247"/>
      <c r="C482" s="247"/>
      <c r="D482" s="238"/>
      <c r="E482" s="254"/>
      <c r="F482" s="255"/>
      <c r="G482" s="238"/>
      <c r="H482" s="247"/>
      <c r="I482" s="238"/>
      <c r="J482" s="247"/>
      <c r="K482" s="247"/>
      <c r="L482" s="247"/>
      <c r="M482" s="238"/>
      <c r="N482" s="238"/>
      <c r="O482" s="251"/>
      <c r="P482" s="247"/>
      <c r="Q482" s="247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>
      <c r="A483" s="247"/>
      <c r="B483" s="247"/>
      <c r="C483" s="247"/>
      <c r="D483" s="238"/>
      <c r="E483" s="254"/>
      <c r="F483" s="255"/>
      <c r="G483" s="238"/>
      <c r="H483" s="247"/>
      <c r="I483" s="238"/>
      <c r="J483" s="247"/>
      <c r="K483" s="247"/>
      <c r="L483" s="247"/>
      <c r="M483" s="238"/>
      <c r="N483" s="238"/>
      <c r="O483" s="251"/>
      <c r="P483" s="247"/>
      <c r="Q483" s="247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>
      <c r="A484" s="247"/>
      <c r="B484" s="247"/>
      <c r="C484" s="247"/>
      <c r="D484" s="238"/>
      <c r="E484" s="254"/>
      <c r="F484" s="255"/>
      <c r="G484" s="238"/>
      <c r="H484" s="247"/>
      <c r="I484" s="238"/>
      <c r="J484" s="247"/>
      <c r="K484" s="247"/>
      <c r="L484" s="247"/>
      <c r="M484" s="238"/>
      <c r="N484" s="238"/>
      <c r="O484" s="251"/>
      <c r="P484" s="247"/>
      <c r="Q484" s="247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>
      <c r="A485" s="247"/>
      <c r="B485" s="247"/>
      <c r="C485" s="247"/>
      <c r="D485" s="238"/>
      <c r="E485" s="254"/>
      <c r="F485" s="255"/>
      <c r="G485" s="238"/>
      <c r="H485" s="247"/>
      <c r="I485" s="238"/>
      <c r="J485" s="247"/>
      <c r="K485" s="247"/>
      <c r="L485" s="247"/>
      <c r="M485" s="238"/>
      <c r="N485" s="238"/>
      <c r="O485" s="251"/>
      <c r="P485" s="247"/>
      <c r="Q485" s="247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>
      <c r="A486" s="247"/>
      <c r="B486" s="247"/>
      <c r="C486" s="247"/>
      <c r="D486" s="238"/>
      <c r="E486" s="254"/>
      <c r="F486" s="255"/>
      <c r="G486" s="238"/>
      <c r="H486" s="247"/>
      <c r="I486" s="238"/>
      <c r="J486" s="247"/>
      <c r="K486" s="247"/>
      <c r="L486" s="247"/>
      <c r="M486" s="238"/>
      <c r="N486" s="238"/>
      <c r="O486" s="251"/>
      <c r="P486" s="247"/>
      <c r="Q486" s="247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>
      <c r="A487" s="247"/>
      <c r="B487" s="247"/>
      <c r="C487" s="247"/>
      <c r="D487" s="238"/>
      <c r="E487" s="254"/>
      <c r="F487" s="255"/>
      <c r="G487" s="238"/>
      <c r="H487" s="247"/>
      <c r="I487" s="238"/>
      <c r="J487" s="247"/>
      <c r="K487" s="247"/>
      <c r="L487" s="247"/>
      <c r="M487" s="238"/>
      <c r="N487" s="238"/>
      <c r="O487" s="251"/>
      <c r="P487" s="247"/>
      <c r="Q487" s="247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>
      <c r="A488" s="247"/>
      <c r="B488" s="247"/>
      <c r="C488" s="247"/>
      <c r="D488" s="238"/>
      <c r="E488" s="254"/>
      <c r="F488" s="255"/>
      <c r="G488" s="238"/>
      <c r="H488" s="247"/>
      <c r="I488" s="238"/>
      <c r="J488" s="247"/>
      <c r="K488" s="247"/>
      <c r="L488" s="247"/>
      <c r="M488" s="238"/>
      <c r="N488" s="238"/>
      <c r="O488" s="251"/>
      <c r="P488" s="247"/>
      <c r="Q488" s="247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>
      <c r="A489" s="247"/>
      <c r="B489" s="247"/>
      <c r="C489" s="247"/>
      <c r="D489" s="238"/>
      <c r="E489" s="254"/>
      <c r="F489" s="255"/>
      <c r="G489" s="238"/>
      <c r="H489" s="247"/>
      <c r="I489" s="238"/>
      <c r="J489" s="247"/>
      <c r="K489" s="247"/>
      <c r="L489" s="247"/>
      <c r="M489" s="238"/>
      <c r="N489" s="238"/>
      <c r="O489" s="251"/>
      <c r="P489" s="247"/>
      <c r="Q489" s="247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>
      <c r="A490" s="247"/>
      <c r="B490" s="247"/>
      <c r="C490" s="247"/>
      <c r="D490" s="238"/>
      <c r="E490" s="254"/>
      <c r="F490" s="255"/>
      <c r="G490" s="238"/>
      <c r="H490" s="247"/>
      <c r="I490" s="238"/>
      <c r="J490" s="247"/>
      <c r="K490" s="247"/>
      <c r="L490" s="247"/>
      <c r="M490" s="238"/>
      <c r="N490" s="238"/>
      <c r="O490" s="251"/>
      <c r="P490" s="247"/>
      <c r="Q490" s="247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>
      <c r="A491" s="247"/>
      <c r="B491" s="247"/>
      <c r="C491" s="247"/>
      <c r="D491" s="238"/>
      <c r="E491" s="254"/>
      <c r="F491" s="255"/>
      <c r="G491" s="238"/>
      <c r="H491" s="247"/>
      <c r="I491" s="238"/>
      <c r="J491" s="247"/>
      <c r="K491" s="247"/>
      <c r="L491" s="247"/>
      <c r="M491" s="238"/>
      <c r="N491" s="238"/>
      <c r="O491" s="251"/>
      <c r="P491" s="247"/>
      <c r="Q491" s="247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>
      <c r="A492" s="247"/>
      <c r="B492" s="247"/>
      <c r="C492" s="247"/>
      <c r="D492" s="238"/>
      <c r="E492" s="254"/>
      <c r="F492" s="255"/>
      <c r="G492" s="238"/>
      <c r="H492" s="247"/>
      <c r="I492" s="238"/>
      <c r="J492" s="247"/>
      <c r="K492" s="247"/>
      <c r="L492" s="247"/>
      <c r="M492" s="238"/>
      <c r="N492" s="238"/>
      <c r="O492" s="251"/>
      <c r="P492" s="247"/>
      <c r="Q492" s="247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>
      <c r="A493" s="247"/>
      <c r="B493" s="247"/>
      <c r="C493" s="247"/>
      <c r="D493" s="238"/>
      <c r="E493" s="254"/>
      <c r="F493" s="255"/>
      <c r="G493" s="238"/>
      <c r="H493" s="247"/>
      <c r="I493" s="238"/>
      <c r="J493" s="247"/>
      <c r="K493" s="247"/>
      <c r="L493" s="247"/>
      <c r="M493" s="238"/>
      <c r="N493" s="238"/>
      <c r="O493" s="251"/>
      <c r="P493" s="247"/>
      <c r="Q493" s="247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>
      <c r="A494" s="247"/>
      <c r="B494" s="247"/>
      <c r="C494" s="247"/>
      <c r="D494" s="238"/>
      <c r="E494" s="254"/>
      <c r="F494" s="255"/>
      <c r="G494" s="238"/>
      <c r="H494" s="247"/>
      <c r="I494" s="238"/>
      <c r="J494" s="247"/>
      <c r="K494" s="247"/>
      <c r="L494" s="247"/>
      <c r="M494" s="238"/>
      <c r="N494" s="238"/>
      <c r="O494" s="251"/>
      <c r="P494" s="247"/>
      <c r="Q494" s="247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>
      <c r="A495" s="247"/>
      <c r="B495" s="247"/>
      <c r="C495" s="247"/>
      <c r="D495" s="238"/>
      <c r="E495" s="254"/>
      <c r="F495" s="255"/>
      <c r="G495" s="238"/>
      <c r="H495" s="247"/>
      <c r="I495" s="238"/>
      <c r="J495" s="247"/>
      <c r="K495" s="247"/>
      <c r="L495" s="247"/>
      <c r="M495" s="238"/>
      <c r="N495" s="238"/>
      <c r="O495" s="251"/>
      <c r="P495" s="247"/>
      <c r="Q495" s="247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>
      <c r="A496" s="247"/>
      <c r="B496" s="247"/>
      <c r="C496" s="247"/>
      <c r="D496" s="238"/>
      <c r="E496" s="254"/>
      <c r="F496" s="255"/>
      <c r="G496" s="238"/>
      <c r="H496" s="247"/>
      <c r="I496" s="238"/>
      <c r="J496" s="247"/>
      <c r="K496" s="247"/>
      <c r="L496" s="247"/>
      <c r="M496" s="238"/>
      <c r="N496" s="238"/>
      <c r="O496" s="251"/>
      <c r="P496" s="247"/>
      <c r="Q496" s="247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>
      <c r="A497" s="247"/>
      <c r="B497" s="247"/>
      <c r="C497" s="247"/>
      <c r="D497" s="238"/>
      <c r="E497" s="254"/>
      <c r="F497" s="255"/>
      <c r="G497" s="238"/>
      <c r="H497" s="247"/>
      <c r="I497" s="238"/>
      <c r="J497" s="247"/>
      <c r="K497" s="247"/>
      <c r="L497" s="247"/>
      <c r="M497" s="238"/>
      <c r="N497" s="238"/>
      <c r="O497" s="251"/>
      <c r="P497" s="247"/>
      <c r="Q497" s="247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>
      <c r="A498" s="247"/>
      <c r="B498" s="247"/>
      <c r="C498" s="247"/>
      <c r="D498" s="238"/>
      <c r="E498" s="254"/>
      <c r="F498" s="255"/>
      <c r="G498" s="238"/>
      <c r="H498" s="247"/>
      <c r="I498" s="238"/>
      <c r="J498" s="247"/>
      <c r="K498" s="247"/>
      <c r="L498" s="247"/>
      <c r="M498" s="238"/>
      <c r="N498" s="238"/>
      <c r="O498" s="251"/>
      <c r="P498" s="247"/>
      <c r="Q498" s="247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>
      <c r="A499" s="247"/>
      <c r="B499" s="247"/>
      <c r="C499" s="247"/>
      <c r="D499" s="238"/>
      <c r="E499" s="254"/>
      <c r="F499" s="255"/>
      <c r="G499" s="238"/>
      <c r="H499" s="247"/>
      <c r="I499" s="238"/>
      <c r="J499" s="247"/>
      <c r="K499" s="247"/>
      <c r="L499" s="247"/>
      <c r="M499" s="238"/>
      <c r="N499" s="238"/>
      <c r="O499" s="251"/>
      <c r="P499" s="247"/>
      <c r="Q499" s="247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>
      <c r="A500" s="247"/>
      <c r="B500" s="247"/>
      <c r="C500" s="247"/>
      <c r="D500" s="238"/>
      <c r="E500" s="254"/>
      <c r="F500" s="255"/>
      <c r="G500" s="238"/>
      <c r="H500" s="247"/>
      <c r="I500" s="238"/>
      <c r="J500" s="247"/>
      <c r="K500" s="247"/>
      <c r="L500" s="247"/>
      <c r="M500" s="238"/>
      <c r="N500" s="238"/>
      <c r="O500" s="251"/>
      <c r="P500" s="247"/>
      <c r="Q500" s="247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>
      <c r="A501" s="247"/>
      <c r="B501" s="247"/>
      <c r="C501" s="247"/>
      <c r="D501" s="238"/>
      <c r="E501" s="254"/>
      <c r="F501" s="255"/>
      <c r="G501" s="238"/>
      <c r="H501" s="247"/>
      <c r="I501" s="238"/>
      <c r="J501" s="247"/>
      <c r="K501" s="247"/>
      <c r="L501" s="247"/>
      <c r="M501" s="238"/>
      <c r="N501" s="238"/>
      <c r="O501" s="251"/>
      <c r="P501" s="247"/>
      <c r="Q501" s="247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>
      <c r="A502" s="247"/>
      <c r="B502" s="247"/>
      <c r="C502" s="247"/>
      <c r="D502" s="238"/>
      <c r="E502" s="254"/>
      <c r="F502" s="255"/>
      <c r="G502" s="238"/>
      <c r="H502" s="247"/>
      <c r="I502" s="238"/>
      <c r="J502" s="247"/>
      <c r="K502" s="247"/>
      <c r="L502" s="247"/>
      <c r="M502" s="238"/>
      <c r="N502" s="238"/>
      <c r="O502" s="251"/>
      <c r="P502" s="247"/>
      <c r="Q502" s="247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>
      <c r="A503" s="247"/>
      <c r="B503" s="247"/>
      <c r="C503" s="247"/>
      <c r="D503" s="238"/>
      <c r="E503" s="254"/>
      <c r="F503" s="255"/>
      <c r="G503" s="238"/>
      <c r="H503" s="247"/>
      <c r="I503" s="238"/>
      <c r="J503" s="247"/>
      <c r="K503" s="247"/>
      <c r="L503" s="247"/>
      <c r="M503" s="238"/>
      <c r="N503" s="238"/>
      <c r="O503" s="251"/>
      <c r="P503" s="247"/>
      <c r="Q503" s="247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>
      <c r="A504" s="247"/>
      <c r="B504" s="247"/>
      <c r="C504" s="247"/>
      <c r="D504" s="238"/>
      <c r="E504" s="254"/>
      <c r="F504" s="255"/>
      <c r="G504" s="238"/>
      <c r="H504" s="247"/>
      <c r="I504" s="238"/>
      <c r="J504" s="247"/>
      <c r="K504" s="247"/>
      <c r="L504" s="247"/>
      <c r="M504" s="238"/>
      <c r="N504" s="238"/>
      <c r="O504" s="251"/>
      <c r="P504" s="247"/>
      <c r="Q504" s="247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>
      <c r="A505" s="247"/>
      <c r="B505" s="247"/>
      <c r="C505" s="247"/>
      <c r="D505" s="238"/>
      <c r="E505" s="254"/>
      <c r="F505" s="255"/>
      <c r="G505" s="238"/>
      <c r="H505" s="247"/>
      <c r="I505" s="238"/>
      <c r="J505" s="247"/>
      <c r="K505" s="247"/>
      <c r="L505" s="247"/>
      <c r="M505" s="238"/>
      <c r="N505" s="238"/>
      <c r="O505" s="251"/>
      <c r="P505" s="247"/>
      <c r="Q505" s="247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>
      <c r="A506" s="247"/>
      <c r="B506" s="247"/>
      <c r="C506" s="247"/>
      <c r="D506" s="238"/>
      <c r="E506" s="254"/>
      <c r="F506" s="255"/>
      <c r="G506" s="238"/>
      <c r="H506" s="247"/>
      <c r="I506" s="238"/>
      <c r="J506" s="247"/>
      <c r="K506" s="247"/>
      <c r="L506" s="247"/>
      <c r="M506" s="238"/>
      <c r="N506" s="238"/>
      <c r="O506" s="251"/>
      <c r="P506" s="247"/>
      <c r="Q506" s="247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>
      <c r="A507" s="247"/>
      <c r="B507" s="247"/>
      <c r="C507" s="247"/>
      <c r="D507" s="238"/>
      <c r="E507" s="254"/>
      <c r="F507" s="255"/>
      <c r="G507" s="238"/>
      <c r="H507" s="247"/>
      <c r="I507" s="238"/>
      <c r="J507" s="247"/>
      <c r="K507" s="247"/>
      <c r="L507" s="247"/>
      <c r="M507" s="238"/>
      <c r="N507" s="238"/>
      <c r="O507" s="251"/>
      <c r="P507" s="247"/>
      <c r="Q507" s="247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>
      <c r="A508" s="247"/>
      <c r="B508" s="247"/>
      <c r="C508" s="247"/>
      <c r="D508" s="238"/>
      <c r="E508" s="254"/>
      <c r="F508" s="255"/>
      <c r="G508" s="238"/>
      <c r="H508" s="247"/>
      <c r="I508" s="238"/>
      <c r="J508" s="247"/>
      <c r="K508" s="247"/>
      <c r="L508" s="247"/>
      <c r="M508" s="238"/>
      <c r="N508" s="238"/>
      <c r="O508" s="251"/>
      <c r="P508" s="247"/>
      <c r="Q508" s="247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>
      <c r="A509" s="247"/>
      <c r="B509" s="247"/>
      <c r="C509" s="247"/>
      <c r="D509" s="238"/>
      <c r="E509" s="254"/>
      <c r="F509" s="255"/>
      <c r="G509" s="238"/>
      <c r="H509" s="247"/>
      <c r="I509" s="238"/>
      <c r="J509" s="247"/>
      <c r="K509" s="247"/>
      <c r="L509" s="247"/>
      <c r="M509" s="238"/>
      <c r="N509" s="238"/>
      <c r="O509" s="251"/>
      <c r="P509" s="247"/>
      <c r="Q509" s="247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>
      <c r="A510" s="247"/>
      <c r="B510" s="247"/>
      <c r="C510" s="247"/>
      <c r="D510" s="238"/>
      <c r="E510" s="254"/>
      <c r="F510" s="255"/>
      <c r="G510" s="238"/>
      <c r="H510" s="247"/>
      <c r="I510" s="238"/>
      <c r="J510" s="247"/>
      <c r="K510" s="247"/>
      <c r="L510" s="247"/>
      <c r="M510" s="238"/>
      <c r="N510" s="238"/>
      <c r="O510" s="251"/>
      <c r="P510" s="247"/>
      <c r="Q510" s="247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>
      <c r="A511" s="247"/>
      <c r="B511" s="247"/>
      <c r="C511" s="247"/>
      <c r="D511" s="238"/>
      <c r="E511" s="254"/>
      <c r="F511" s="255"/>
      <c r="G511" s="238"/>
      <c r="H511" s="247"/>
      <c r="I511" s="238"/>
      <c r="J511" s="247"/>
      <c r="K511" s="247"/>
      <c r="L511" s="247"/>
      <c r="M511" s="238"/>
      <c r="N511" s="238"/>
      <c r="O511" s="251"/>
      <c r="P511" s="247"/>
      <c r="Q511" s="247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>
      <c r="A512" s="247"/>
      <c r="B512" s="247"/>
      <c r="C512" s="247"/>
      <c r="D512" s="238"/>
      <c r="E512" s="254"/>
      <c r="F512" s="255"/>
      <c r="G512" s="238"/>
      <c r="H512" s="247"/>
      <c r="I512" s="238"/>
      <c r="J512" s="247"/>
      <c r="K512" s="247"/>
      <c r="L512" s="247"/>
      <c r="M512" s="238"/>
      <c r="N512" s="238"/>
      <c r="O512" s="251"/>
      <c r="P512" s="247"/>
      <c r="Q512" s="247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>
      <c r="A513" s="247"/>
      <c r="B513" s="247"/>
      <c r="C513" s="247"/>
      <c r="D513" s="238"/>
      <c r="E513" s="254"/>
      <c r="F513" s="255"/>
      <c r="G513" s="238"/>
      <c r="H513" s="247"/>
      <c r="I513" s="238"/>
      <c r="J513" s="247"/>
      <c r="K513" s="247"/>
      <c r="L513" s="247"/>
      <c r="M513" s="238"/>
      <c r="N513" s="238"/>
      <c r="O513" s="251"/>
      <c r="P513" s="247"/>
      <c r="Q513" s="247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>
      <c r="A514" s="247"/>
      <c r="B514" s="247"/>
      <c r="C514" s="247"/>
      <c r="D514" s="238"/>
      <c r="E514" s="254"/>
      <c r="F514" s="255"/>
      <c r="G514" s="238"/>
      <c r="H514" s="247"/>
      <c r="I514" s="238"/>
      <c r="J514" s="247"/>
      <c r="K514" s="247"/>
      <c r="L514" s="247"/>
      <c r="M514" s="238"/>
      <c r="N514" s="238"/>
      <c r="O514" s="251"/>
      <c r="P514" s="247"/>
      <c r="Q514" s="247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>
      <c r="A515" s="247"/>
      <c r="B515" s="247"/>
      <c r="C515" s="247"/>
      <c r="D515" s="238"/>
      <c r="E515" s="254"/>
      <c r="F515" s="255"/>
      <c r="G515" s="238"/>
      <c r="H515" s="247"/>
      <c r="I515" s="238"/>
      <c r="J515" s="247"/>
      <c r="K515" s="247"/>
      <c r="L515" s="247"/>
      <c r="M515" s="238"/>
      <c r="N515" s="238"/>
      <c r="O515" s="251"/>
      <c r="P515" s="247"/>
      <c r="Q515" s="247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>
      <c r="A516" s="247"/>
      <c r="B516" s="247"/>
      <c r="C516" s="247"/>
      <c r="D516" s="238"/>
      <c r="E516" s="254"/>
      <c r="F516" s="255"/>
      <c r="G516" s="238"/>
      <c r="H516" s="247"/>
      <c r="I516" s="238"/>
      <c r="J516" s="247"/>
      <c r="K516" s="247"/>
      <c r="L516" s="247"/>
      <c r="M516" s="238"/>
      <c r="N516" s="238"/>
      <c r="O516" s="251"/>
      <c r="P516" s="247"/>
      <c r="Q516" s="247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>
      <c r="A517" s="247"/>
      <c r="B517" s="247"/>
      <c r="C517" s="247"/>
      <c r="D517" s="238"/>
      <c r="E517" s="254"/>
      <c r="F517" s="255"/>
      <c r="G517" s="238"/>
      <c r="H517" s="247"/>
      <c r="I517" s="238"/>
      <c r="J517" s="247"/>
      <c r="K517" s="247"/>
      <c r="L517" s="247"/>
      <c r="M517" s="238"/>
      <c r="N517" s="238"/>
      <c r="O517" s="251"/>
      <c r="P517" s="247"/>
      <c r="Q517" s="247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>
      <c r="A518" s="247"/>
      <c r="B518" s="247"/>
      <c r="C518" s="247"/>
      <c r="D518" s="238"/>
      <c r="E518" s="254"/>
      <c r="F518" s="255"/>
      <c r="G518" s="238"/>
      <c r="H518" s="247"/>
      <c r="I518" s="238"/>
      <c r="J518" s="247"/>
      <c r="K518" s="247"/>
      <c r="L518" s="247"/>
      <c r="M518" s="238"/>
      <c r="N518" s="238"/>
      <c r="O518" s="251"/>
      <c r="P518" s="247"/>
      <c r="Q518" s="247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>
      <c r="A519" s="247"/>
      <c r="B519" s="247"/>
      <c r="C519" s="247"/>
      <c r="D519" s="238"/>
      <c r="E519" s="254"/>
      <c r="F519" s="255"/>
      <c r="G519" s="238"/>
      <c r="H519" s="247"/>
      <c r="I519" s="238"/>
      <c r="J519" s="247"/>
      <c r="K519" s="247"/>
      <c r="L519" s="247"/>
      <c r="M519" s="238"/>
      <c r="N519" s="238"/>
      <c r="O519" s="251"/>
      <c r="P519" s="247"/>
      <c r="Q519" s="247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>
      <c r="A520" s="247"/>
      <c r="B520" s="247"/>
      <c r="C520" s="247"/>
      <c r="D520" s="238"/>
      <c r="E520" s="254"/>
      <c r="F520" s="255"/>
      <c r="G520" s="238"/>
      <c r="H520" s="247"/>
      <c r="I520" s="238"/>
      <c r="J520" s="247"/>
      <c r="K520" s="247"/>
      <c r="L520" s="247"/>
      <c r="M520" s="238"/>
      <c r="N520" s="238"/>
      <c r="O520" s="251"/>
      <c r="P520" s="247"/>
      <c r="Q520" s="247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>
      <c r="A521" s="247"/>
      <c r="B521" s="247"/>
      <c r="C521" s="247"/>
      <c r="D521" s="238"/>
      <c r="E521" s="254"/>
      <c r="F521" s="255"/>
      <c r="G521" s="238"/>
      <c r="H521" s="247"/>
      <c r="I521" s="238"/>
      <c r="J521" s="247"/>
      <c r="K521" s="247"/>
      <c r="L521" s="247"/>
      <c r="M521" s="238"/>
      <c r="N521" s="238"/>
      <c r="O521" s="251"/>
      <c r="P521" s="247"/>
      <c r="Q521" s="247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>
      <c r="A522" s="247"/>
      <c r="B522" s="247"/>
      <c r="C522" s="247"/>
      <c r="D522" s="238"/>
      <c r="E522" s="254"/>
      <c r="F522" s="255"/>
      <c r="G522" s="238"/>
      <c r="H522" s="247"/>
      <c r="I522" s="238"/>
      <c r="J522" s="247"/>
      <c r="K522" s="247"/>
      <c r="L522" s="247"/>
      <c r="M522" s="238"/>
      <c r="N522" s="238"/>
      <c r="O522" s="251"/>
      <c r="P522" s="247"/>
      <c r="Q522" s="247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>
      <c r="A523" s="247"/>
      <c r="B523" s="247"/>
      <c r="C523" s="247"/>
      <c r="D523" s="238"/>
      <c r="E523" s="254"/>
      <c r="F523" s="255"/>
      <c r="G523" s="238"/>
      <c r="H523" s="247"/>
      <c r="I523" s="238"/>
      <c r="J523" s="247"/>
      <c r="K523" s="247"/>
      <c r="L523" s="247"/>
      <c r="M523" s="238"/>
      <c r="N523" s="238"/>
      <c r="O523" s="251"/>
      <c r="P523" s="247"/>
      <c r="Q523" s="247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>
      <c r="A524" s="247"/>
      <c r="B524" s="247"/>
      <c r="C524" s="247"/>
      <c r="D524" s="238"/>
      <c r="E524" s="254"/>
      <c r="F524" s="255"/>
      <c r="G524" s="238"/>
      <c r="H524" s="247"/>
      <c r="I524" s="238"/>
      <c r="J524" s="247"/>
      <c r="K524" s="247"/>
      <c r="L524" s="247"/>
      <c r="M524" s="238"/>
      <c r="N524" s="238"/>
      <c r="O524" s="251"/>
      <c r="P524" s="247"/>
      <c r="Q524" s="247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>
      <c r="A525" s="247"/>
      <c r="B525" s="247"/>
      <c r="C525" s="247"/>
      <c r="D525" s="238"/>
      <c r="E525" s="254"/>
      <c r="F525" s="255"/>
      <c r="G525" s="238"/>
      <c r="H525" s="247"/>
      <c r="I525" s="238"/>
      <c r="J525" s="247"/>
      <c r="K525" s="247"/>
      <c r="L525" s="247"/>
      <c r="M525" s="238"/>
      <c r="N525" s="238"/>
      <c r="O525" s="251"/>
      <c r="P525" s="247"/>
      <c r="Q525" s="247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>
      <c r="A526" s="247"/>
      <c r="B526" s="247"/>
      <c r="C526" s="247"/>
      <c r="D526" s="238"/>
      <c r="E526" s="254"/>
      <c r="F526" s="255"/>
      <c r="G526" s="238"/>
      <c r="H526" s="247"/>
      <c r="I526" s="238"/>
      <c r="J526" s="247"/>
      <c r="K526" s="247"/>
      <c r="L526" s="247"/>
      <c r="M526" s="238"/>
      <c r="N526" s="238"/>
      <c r="O526" s="251"/>
      <c r="P526" s="247"/>
      <c r="Q526" s="247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>
      <c r="A527" s="247"/>
      <c r="B527" s="247"/>
      <c r="C527" s="247"/>
      <c r="D527" s="238"/>
      <c r="E527" s="254"/>
      <c r="F527" s="255"/>
      <c r="G527" s="238"/>
      <c r="H527" s="247"/>
      <c r="I527" s="238"/>
      <c r="J527" s="247"/>
      <c r="K527" s="247"/>
      <c r="L527" s="247"/>
      <c r="M527" s="238"/>
      <c r="N527" s="238"/>
      <c r="O527" s="251"/>
      <c r="P527" s="247"/>
      <c r="Q527" s="247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>
      <c r="A528" s="247"/>
      <c r="B528" s="247"/>
      <c r="C528" s="247"/>
      <c r="D528" s="238"/>
      <c r="E528" s="254"/>
      <c r="F528" s="255"/>
      <c r="G528" s="238"/>
      <c r="H528" s="247"/>
      <c r="I528" s="238"/>
      <c r="J528" s="247"/>
      <c r="K528" s="247"/>
      <c r="L528" s="247"/>
      <c r="M528" s="238"/>
      <c r="N528" s="238"/>
      <c r="O528" s="251"/>
      <c r="P528" s="247"/>
      <c r="Q528" s="247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>
      <c r="A529" s="247"/>
      <c r="B529" s="247"/>
      <c r="C529" s="247"/>
      <c r="D529" s="238"/>
      <c r="E529" s="254"/>
      <c r="F529" s="255"/>
      <c r="G529" s="238"/>
      <c r="H529" s="247"/>
      <c r="I529" s="238"/>
      <c r="J529" s="247"/>
      <c r="K529" s="247"/>
      <c r="L529" s="247"/>
      <c r="M529" s="238"/>
      <c r="N529" s="238"/>
      <c r="O529" s="251"/>
      <c r="P529" s="247"/>
      <c r="Q529" s="247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>
      <c r="A530" s="247"/>
      <c r="B530" s="247"/>
      <c r="C530" s="247"/>
      <c r="D530" s="238"/>
      <c r="E530" s="254"/>
      <c r="F530" s="255"/>
      <c r="G530" s="238"/>
      <c r="H530" s="247"/>
      <c r="I530" s="238"/>
      <c r="J530" s="247"/>
      <c r="K530" s="247"/>
      <c r="L530" s="247"/>
      <c r="M530" s="238"/>
      <c r="N530" s="238"/>
      <c r="O530" s="251"/>
      <c r="P530" s="247"/>
      <c r="Q530" s="247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>
      <c r="A531" s="247"/>
      <c r="B531" s="247"/>
      <c r="C531" s="247"/>
      <c r="D531" s="238"/>
      <c r="E531" s="254"/>
      <c r="F531" s="255"/>
      <c r="G531" s="238"/>
      <c r="H531" s="247"/>
      <c r="I531" s="238"/>
      <c r="J531" s="247"/>
      <c r="K531" s="247"/>
      <c r="L531" s="247"/>
      <c r="M531" s="238"/>
      <c r="N531" s="238"/>
      <c r="O531" s="251"/>
      <c r="P531" s="247"/>
      <c r="Q531" s="247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>
      <c r="A532" s="247"/>
      <c r="B532" s="247"/>
      <c r="C532" s="247"/>
      <c r="D532" s="238"/>
      <c r="E532" s="254"/>
      <c r="F532" s="255"/>
      <c r="G532" s="238"/>
      <c r="H532" s="247"/>
      <c r="I532" s="238"/>
      <c r="J532" s="247"/>
      <c r="K532" s="247"/>
      <c r="L532" s="247"/>
      <c r="M532" s="238"/>
      <c r="N532" s="238"/>
      <c r="O532" s="251"/>
      <c r="P532" s="247"/>
      <c r="Q532" s="247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>
      <c r="A533" s="247"/>
      <c r="B533" s="247"/>
      <c r="C533" s="247"/>
      <c r="D533" s="238"/>
      <c r="E533" s="254"/>
      <c r="F533" s="255"/>
      <c r="G533" s="238"/>
      <c r="H533" s="247"/>
      <c r="I533" s="238"/>
      <c r="J533" s="247"/>
      <c r="K533" s="247"/>
      <c r="L533" s="247"/>
      <c r="M533" s="238"/>
      <c r="N533" s="238"/>
      <c r="O533" s="251"/>
      <c r="P533" s="247"/>
      <c r="Q533" s="247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>
      <c r="A534" s="247"/>
      <c r="B534" s="247"/>
      <c r="C534" s="247"/>
      <c r="D534" s="238"/>
      <c r="E534" s="254"/>
      <c r="F534" s="255"/>
      <c r="G534" s="238"/>
      <c r="H534" s="247"/>
      <c r="I534" s="238"/>
      <c r="J534" s="247"/>
      <c r="K534" s="247"/>
      <c r="L534" s="247"/>
      <c r="M534" s="238"/>
      <c r="N534" s="238"/>
      <c r="O534" s="251"/>
      <c r="P534" s="247"/>
      <c r="Q534" s="247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>
      <c r="A535" s="247"/>
      <c r="B535" s="247"/>
      <c r="C535" s="247"/>
      <c r="D535" s="238"/>
      <c r="E535" s="254"/>
      <c r="F535" s="255"/>
      <c r="G535" s="238"/>
      <c r="H535" s="247"/>
      <c r="I535" s="238"/>
      <c r="J535" s="247"/>
      <c r="K535" s="247"/>
      <c r="L535" s="247"/>
      <c r="M535" s="238"/>
      <c r="N535" s="238"/>
      <c r="O535" s="251"/>
      <c r="P535" s="247"/>
      <c r="Q535" s="247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>
      <c r="A536" s="247"/>
      <c r="B536" s="247"/>
      <c r="C536" s="247"/>
      <c r="D536" s="238"/>
      <c r="E536" s="254"/>
      <c r="F536" s="255"/>
      <c r="G536" s="238"/>
      <c r="H536" s="247"/>
      <c r="I536" s="238"/>
      <c r="J536" s="247"/>
      <c r="K536" s="247"/>
      <c r="L536" s="247"/>
      <c r="M536" s="238"/>
      <c r="N536" s="238"/>
      <c r="O536" s="251"/>
      <c r="P536" s="247"/>
      <c r="Q536" s="247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>
      <c r="A537" s="247"/>
      <c r="B537" s="247"/>
      <c r="C537" s="247"/>
      <c r="D537" s="238"/>
      <c r="E537" s="254"/>
      <c r="F537" s="255"/>
      <c r="G537" s="238"/>
      <c r="H537" s="247"/>
      <c r="I537" s="238"/>
      <c r="J537" s="247"/>
      <c r="K537" s="247"/>
      <c r="L537" s="247"/>
      <c r="M537" s="238"/>
      <c r="N537" s="238"/>
      <c r="O537" s="251"/>
      <c r="P537" s="247"/>
      <c r="Q537" s="247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>
      <c r="A538" s="247"/>
      <c r="B538" s="247"/>
      <c r="C538" s="247"/>
      <c r="D538" s="238"/>
      <c r="E538" s="254"/>
      <c r="F538" s="255"/>
      <c r="G538" s="238"/>
      <c r="H538" s="247"/>
      <c r="I538" s="238"/>
      <c r="J538" s="247"/>
      <c r="K538" s="247"/>
      <c r="L538" s="247"/>
      <c r="M538" s="238"/>
      <c r="N538" s="238"/>
      <c r="O538" s="251"/>
      <c r="P538" s="247"/>
      <c r="Q538" s="247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>
      <c r="A539" s="247"/>
      <c r="B539" s="247"/>
      <c r="C539" s="247"/>
      <c r="D539" s="238"/>
      <c r="E539" s="254"/>
      <c r="F539" s="255"/>
      <c r="G539" s="238"/>
      <c r="H539" s="247"/>
      <c r="I539" s="238"/>
      <c r="J539" s="247"/>
      <c r="K539" s="247"/>
      <c r="L539" s="247"/>
      <c r="M539" s="238"/>
      <c r="N539" s="238"/>
      <c r="O539" s="251"/>
      <c r="P539" s="247"/>
      <c r="Q539" s="247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>
      <c r="A540" s="247"/>
      <c r="B540" s="247"/>
      <c r="C540" s="247"/>
      <c r="D540" s="238"/>
      <c r="E540" s="254"/>
      <c r="F540" s="255"/>
      <c r="G540" s="238"/>
      <c r="H540" s="247"/>
      <c r="I540" s="238"/>
      <c r="J540" s="247"/>
      <c r="K540" s="247"/>
      <c r="L540" s="247"/>
      <c r="M540" s="238"/>
      <c r="N540" s="238"/>
      <c r="O540" s="251"/>
      <c r="P540" s="247"/>
      <c r="Q540" s="247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>
      <c r="A541" s="247"/>
      <c r="B541" s="247"/>
      <c r="C541" s="247"/>
      <c r="D541" s="238"/>
      <c r="E541" s="254"/>
      <c r="F541" s="255"/>
      <c r="G541" s="238"/>
      <c r="H541" s="247"/>
      <c r="I541" s="238"/>
      <c r="J541" s="247"/>
      <c r="K541" s="247"/>
      <c r="L541" s="247"/>
      <c r="M541" s="238"/>
      <c r="N541" s="238"/>
      <c r="O541" s="251"/>
      <c r="P541" s="247"/>
      <c r="Q541" s="247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>
      <c r="A542" s="247"/>
      <c r="B542" s="247"/>
      <c r="C542" s="247"/>
      <c r="D542" s="238"/>
      <c r="E542" s="254"/>
      <c r="F542" s="255"/>
      <c r="G542" s="238"/>
      <c r="H542" s="247"/>
      <c r="I542" s="238"/>
      <c r="J542" s="247"/>
      <c r="K542" s="247"/>
      <c r="L542" s="247"/>
      <c r="M542" s="238"/>
      <c r="N542" s="238"/>
      <c r="O542" s="251"/>
      <c r="P542" s="247"/>
      <c r="Q542" s="247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>
      <c r="A543" s="247"/>
      <c r="B543" s="247"/>
      <c r="C543" s="247"/>
      <c r="D543" s="238"/>
      <c r="E543" s="254"/>
      <c r="F543" s="255"/>
      <c r="G543" s="238"/>
      <c r="H543" s="247"/>
      <c r="I543" s="238"/>
      <c r="J543" s="247"/>
      <c r="K543" s="247"/>
      <c r="L543" s="247"/>
      <c r="M543" s="238"/>
      <c r="N543" s="238"/>
      <c r="O543" s="251"/>
      <c r="P543" s="247"/>
      <c r="Q543" s="247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>
      <c r="A544" s="247"/>
      <c r="B544" s="247"/>
      <c r="C544" s="247"/>
      <c r="D544" s="238"/>
      <c r="E544" s="254"/>
      <c r="F544" s="255"/>
      <c r="G544" s="238"/>
      <c r="H544" s="247"/>
      <c r="I544" s="238"/>
      <c r="J544" s="247"/>
      <c r="K544" s="247"/>
      <c r="L544" s="247"/>
      <c r="M544" s="238"/>
      <c r="N544" s="238"/>
      <c r="O544" s="251"/>
      <c r="P544" s="247"/>
      <c r="Q544" s="247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>
      <c r="A545" s="247"/>
      <c r="B545" s="247"/>
      <c r="C545" s="247"/>
      <c r="D545" s="238"/>
      <c r="E545" s="254"/>
      <c r="F545" s="255"/>
      <c r="G545" s="238"/>
      <c r="H545" s="247"/>
      <c r="I545" s="238"/>
      <c r="J545" s="247"/>
      <c r="K545" s="247"/>
      <c r="L545" s="247"/>
      <c r="M545" s="238"/>
      <c r="N545" s="238"/>
      <c r="O545" s="251"/>
      <c r="P545" s="247"/>
      <c r="Q545" s="247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>
      <c r="A546" s="247"/>
      <c r="B546" s="247"/>
      <c r="C546" s="247"/>
      <c r="D546" s="238"/>
      <c r="E546" s="254"/>
      <c r="F546" s="255"/>
      <c r="G546" s="238"/>
      <c r="H546" s="247"/>
      <c r="I546" s="238"/>
      <c r="J546" s="247"/>
      <c r="K546" s="247"/>
      <c r="L546" s="247"/>
      <c r="M546" s="238"/>
      <c r="N546" s="238"/>
      <c r="O546" s="251"/>
      <c r="P546" s="247"/>
      <c r="Q546" s="247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>
      <c r="A547" s="247"/>
      <c r="B547" s="247"/>
      <c r="C547" s="247"/>
      <c r="D547" s="238"/>
      <c r="E547" s="254"/>
      <c r="F547" s="255"/>
      <c r="G547" s="238"/>
      <c r="H547" s="247"/>
      <c r="I547" s="238"/>
      <c r="J547" s="247"/>
      <c r="K547" s="247"/>
      <c r="L547" s="247"/>
      <c r="M547" s="238"/>
      <c r="N547" s="238"/>
      <c r="O547" s="251"/>
      <c r="P547" s="247"/>
      <c r="Q547" s="247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>
      <c r="A548" s="247"/>
      <c r="B548" s="247"/>
      <c r="C548" s="247"/>
      <c r="D548" s="238"/>
      <c r="E548" s="254"/>
      <c r="F548" s="255"/>
      <c r="G548" s="238"/>
      <c r="H548" s="247"/>
      <c r="I548" s="238"/>
      <c r="J548" s="247"/>
      <c r="K548" s="247"/>
      <c r="L548" s="247"/>
      <c r="M548" s="238"/>
      <c r="N548" s="238"/>
      <c r="O548" s="251"/>
      <c r="P548" s="247"/>
      <c r="Q548" s="247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>
      <c r="A549" s="247"/>
      <c r="B549" s="247"/>
      <c r="C549" s="247"/>
      <c r="D549" s="238"/>
      <c r="E549" s="254"/>
      <c r="F549" s="255"/>
      <c r="G549" s="238"/>
      <c r="H549" s="247"/>
      <c r="I549" s="238"/>
      <c r="J549" s="247"/>
      <c r="K549" s="247"/>
      <c r="L549" s="247"/>
      <c r="M549" s="238"/>
      <c r="N549" s="238"/>
      <c r="O549" s="251"/>
      <c r="P549" s="247"/>
      <c r="Q549" s="247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>
      <c r="A550" s="247"/>
      <c r="B550" s="247"/>
      <c r="C550" s="247"/>
      <c r="D550" s="238"/>
      <c r="E550" s="254"/>
      <c r="F550" s="255"/>
      <c r="G550" s="238"/>
      <c r="H550" s="247"/>
      <c r="I550" s="238"/>
      <c r="J550" s="247"/>
      <c r="K550" s="247"/>
      <c r="L550" s="247"/>
      <c r="M550" s="238"/>
      <c r="N550" s="238"/>
      <c r="O550" s="251"/>
      <c r="P550" s="247"/>
      <c r="Q550" s="247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>
      <c r="A551" s="247"/>
      <c r="B551" s="247"/>
      <c r="C551" s="247"/>
      <c r="D551" s="238"/>
      <c r="E551" s="254"/>
      <c r="F551" s="255"/>
      <c r="G551" s="238"/>
      <c r="H551" s="247"/>
      <c r="I551" s="238"/>
      <c r="J551" s="247"/>
      <c r="K551" s="247"/>
      <c r="L551" s="247"/>
      <c r="M551" s="238"/>
      <c r="N551" s="238"/>
      <c r="O551" s="251"/>
      <c r="P551" s="247"/>
      <c r="Q551" s="247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>
      <c r="A552" s="247"/>
      <c r="B552" s="247"/>
      <c r="C552" s="247"/>
      <c r="D552" s="238"/>
      <c r="E552" s="254"/>
      <c r="F552" s="255"/>
      <c r="G552" s="238"/>
      <c r="H552" s="247"/>
      <c r="I552" s="238"/>
      <c r="J552" s="247"/>
      <c r="K552" s="247"/>
      <c r="L552" s="247"/>
      <c r="M552" s="238"/>
      <c r="N552" s="238"/>
      <c r="O552" s="251"/>
      <c r="P552" s="247"/>
      <c r="Q552" s="247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>
      <c r="A553" s="247"/>
      <c r="B553" s="247"/>
      <c r="C553" s="247"/>
      <c r="D553" s="238"/>
      <c r="E553" s="254"/>
      <c r="F553" s="255"/>
      <c r="G553" s="238"/>
      <c r="H553" s="247"/>
      <c r="I553" s="238"/>
      <c r="J553" s="247"/>
      <c r="K553" s="247"/>
      <c r="L553" s="247"/>
      <c r="M553" s="238"/>
      <c r="N553" s="238"/>
      <c r="O553" s="251"/>
      <c r="P553" s="247"/>
      <c r="Q553" s="247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>
      <c r="A554" s="247"/>
      <c r="B554" s="247"/>
      <c r="C554" s="247"/>
      <c r="D554" s="238"/>
      <c r="E554" s="254"/>
      <c r="F554" s="255"/>
      <c r="G554" s="238"/>
      <c r="H554" s="247"/>
      <c r="I554" s="238"/>
      <c r="J554" s="247"/>
      <c r="K554" s="247"/>
      <c r="L554" s="247"/>
      <c r="M554" s="238"/>
      <c r="N554" s="238"/>
      <c r="O554" s="251"/>
      <c r="P554" s="247"/>
      <c r="Q554" s="247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>
      <c r="A555" s="247"/>
      <c r="B555" s="247"/>
      <c r="C555" s="247"/>
      <c r="D555" s="238"/>
      <c r="E555" s="254"/>
      <c r="F555" s="255"/>
      <c r="G555" s="238"/>
      <c r="H555" s="247"/>
      <c r="I555" s="238"/>
      <c r="J555" s="247"/>
      <c r="K555" s="247"/>
      <c r="L555" s="247"/>
      <c r="M555" s="238"/>
      <c r="N555" s="238"/>
      <c r="O555" s="251"/>
      <c r="P555" s="247"/>
      <c r="Q555" s="247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>
      <c r="A556" s="247"/>
      <c r="B556" s="247"/>
      <c r="C556" s="247"/>
      <c r="D556" s="238"/>
      <c r="E556" s="254"/>
      <c r="F556" s="255"/>
      <c r="G556" s="238"/>
      <c r="H556" s="247"/>
      <c r="I556" s="238"/>
      <c r="J556" s="247"/>
      <c r="K556" s="247"/>
      <c r="L556" s="247"/>
      <c r="M556" s="238"/>
      <c r="N556" s="238"/>
      <c r="O556" s="251"/>
      <c r="P556" s="247"/>
      <c r="Q556" s="247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>
      <c r="A557" s="247"/>
      <c r="B557" s="247"/>
      <c r="C557" s="247"/>
      <c r="D557" s="238"/>
      <c r="E557" s="254"/>
      <c r="F557" s="255"/>
      <c r="G557" s="238"/>
      <c r="H557" s="247"/>
      <c r="I557" s="238"/>
      <c r="J557" s="247"/>
      <c r="K557" s="247"/>
      <c r="L557" s="247"/>
      <c r="M557" s="238"/>
      <c r="N557" s="238"/>
      <c r="O557" s="251"/>
      <c r="P557" s="247"/>
      <c r="Q557" s="247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>
      <c r="A558" s="247"/>
      <c r="B558" s="247"/>
      <c r="C558" s="247"/>
      <c r="D558" s="238"/>
      <c r="E558" s="254"/>
      <c r="F558" s="255"/>
      <c r="G558" s="238"/>
      <c r="H558" s="247"/>
      <c r="I558" s="238"/>
      <c r="J558" s="247"/>
      <c r="K558" s="247"/>
      <c r="L558" s="247"/>
      <c r="M558" s="238"/>
      <c r="N558" s="238"/>
      <c r="O558" s="251"/>
      <c r="P558" s="247"/>
      <c r="Q558" s="247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>
      <c r="A559" s="247"/>
      <c r="B559" s="247"/>
      <c r="C559" s="247"/>
      <c r="D559" s="238"/>
      <c r="E559" s="254"/>
      <c r="F559" s="255"/>
      <c r="G559" s="238"/>
      <c r="H559" s="247"/>
      <c r="I559" s="238"/>
      <c r="J559" s="247"/>
      <c r="K559" s="247"/>
      <c r="L559" s="247"/>
      <c r="M559" s="238"/>
      <c r="N559" s="238"/>
      <c r="O559" s="251"/>
      <c r="P559" s="247"/>
      <c r="Q559" s="247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>
      <c r="A560" s="247"/>
      <c r="B560" s="247"/>
      <c r="C560" s="247"/>
      <c r="D560" s="238"/>
      <c r="E560" s="254"/>
      <c r="F560" s="255"/>
      <c r="G560" s="238"/>
      <c r="H560" s="247"/>
      <c r="I560" s="238"/>
      <c r="J560" s="247"/>
      <c r="K560" s="247"/>
      <c r="L560" s="247"/>
      <c r="M560" s="238"/>
      <c r="N560" s="238"/>
      <c r="O560" s="251"/>
      <c r="P560" s="247"/>
      <c r="Q560" s="247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>
      <c r="A561" s="247"/>
      <c r="B561" s="247"/>
      <c r="C561" s="247"/>
      <c r="D561" s="238"/>
      <c r="E561" s="254"/>
      <c r="F561" s="255"/>
      <c r="G561" s="238"/>
      <c r="H561" s="247"/>
      <c r="I561" s="238"/>
      <c r="J561" s="247"/>
      <c r="K561" s="247"/>
      <c r="L561" s="247"/>
      <c r="M561" s="238"/>
      <c r="N561" s="238"/>
      <c r="O561" s="251"/>
      <c r="P561" s="247"/>
      <c r="Q561" s="247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>
      <c r="A562" s="247"/>
      <c r="B562" s="247"/>
      <c r="C562" s="247"/>
      <c r="D562" s="238"/>
      <c r="E562" s="254"/>
      <c r="F562" s="255"/>
      <c r="G562" s="238"/>
      <c r="H562" s="247"/>
      <c r="I562" s="238"/>
      <c r="J562" s="247"/>
      <c r="K562" s="247"/>
      <c r="L562" s="247"/>
      <c r="M562" s="238"/>
      <c r="N562" s="238"/>
      <c r="O562" s="251"/>
      <c r="P562" s="247"/>
      <c r="Q562" s="247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>
      <c r="A563" s="247"/>
      <c r="B563" s="247"/>
      <c r="C563" s="247"/>
      <c r="D563" s="238"/>
      <c r="E563" s="254"/>
      <c r="F563" s="255"/>
      <c r="G563" s="238"/>
      <c r="H563" s="247"/>
      <c r="I563" s="238"/>
      <c r="J563" s="247"/>
      <c r="K563" s="247"/>
      <c r="L563" s="247"/>
      <c r="M563" s="238"/>
      <c r="N563" s="238"/>
      <c r="O563" s="251"/>
      <c r="P563" s="247"/>
      <c r="Q563" s="247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>
      <c r="A564" s="247"/>
      <c r="B564" s="247"/>
      <c r="C564" s="247"/>
      <c r="D564" s="238"/>
      <c r="E564" s="254"/>
      <c r="F564" s="255"/>
      <c r="G564" s="238"/>
      <c r="H564" s="247"/>
      <c r="I564" s="238"/>
      <c r="J564" s="247"/>
      <c r="K564" s="247"/>
      <c r="L564" s="247"/>
      <c r="M564" s="238"/>
      <c r="N564" s="238"/>
      <c r="O564" s="251"/>
      <c r="P564" s="247"/>
      <c r="Q564" s="247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>
      <c r="A565" s="247"/>
      <c r="B565" s="247"/>
      <c r="C565" s="247"/>
      <c r="D565" s="238"/>
      <c r="E565" s="254"/>
      <c r="F565" s="255"/>
      <c r="G565" s="238"/>
      <c r="H565" s="247"/>
      <c r="I565" s="238"/>
      <c r="J565" s="247"/>
      <c r="K565" s="247"/>
      <c r="L565" s="247"/>
      <c r="M565" s="238"/>
      <c r="N565" s="238"/>
      <c r="O565" s="251"/>
      <c r="P565" s="247"/>
      <c r="Q565" s="247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>
      <c r="A566" s="247"/>
      <c r="B566" s="247"/>
      <c r="C566" s="247"/>
      <c r="D566" s="238"/>
      <c r="E566" s="254"/>
      <c r="F566" s="255"/>
      <c r="G566" s="238"/>
      <c r="H566" s="247"/>
      <c r="I566" s="238"/>
      <c r="J566" s="247"/>
      <c r="K566" s="247"/>
      <c r="L566" s="247"/>
      <c r="M566" s="238"/>
      <c r="N566" s="238"/>
      <c r="O566" s="251"/>
      <c r="P566" s="247"/>
      <c r="Q566" s="247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>
      <c r="A567" s="247"/>
      <c r="B567" s="247"/>
      <c r="C567" s="247"/>
      <c r="D567" s="238"/>
      <c r="E567" s="254"/>
      <c r="F567" s="255"/>
      <c r="G567" s="238"/>
      <c r="H567" s="247"/>
      <c r="I567" s="238"/>
      <c r="J567" s="247"/>
      <c r="K567" s="247"/>
      <c r="L567" s="247"/>
      <c r="M567" s="238"/>
      <c r="N567" s="238"/>
      <c r="O567" s="251"/>
      <c r="P567" s="247"/>
      <c r="Q567" s="247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>
      <c r="A568" s="247"/>
      <c r="B568" s="247"/>
      <c r="C568" s="247"/>
      <c r="D568" s="238"/>
      <c r="E568" s="254"/>
      <c r="F568" s="255"/>
      <c r="G568" s="238"/>
      <c r="H568" s="247"/>
      <c r="I568" s="238"/>
      <c r="J568" s="247"/>
      <c r="K568" s="247"/>
      <c r="L568" s="247"/>
      <c r="M568" s="238"/>
      <c r="N568" s="238"/>
      <c r="O568" s="251"/>
      <c r="P568" s="247"/>
      <c r="Q568" s="247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>
      <c r="A569" s="247"/>
      <c r="B569" s="247"/>
      <c r="C569" s="247"/>
      <c r="D569" s="238"/>
      <c r="E569" s="254"/>
      <c r="F569" s="255"/>
      <c r="G569" s="238"/>
      <c r="H569" s="247"/>
      <c r="I569" s="238"/>
      <c r="J569" s="247"/>
      <c r="K569" s="247"/>
      <c r="L569" s="247"/>
      <c r="M569" s="238"/>
      <c r="N569" s="238"/>
      <c r="O569" s="251"/>
      <c r="P569" s="247"/>
      <c r="Q569" s="247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>
      <c r="A570" s="247"/>
      <c r="B570" s="247"/>
      <c r="C570" s="247"/>
      <c r="D570" s="238"/>
      <c r="E570" s="254"/>
      <c r="F570" s="255"/>
      <c r="G570" s="238"/>
      <c r="H570" s="247"/>
      <c r="I570" s="238"/>
      <c r="J570" s="247"/>
      <c r="K570" s="247"/>
      <c r="L570" s="247"/>
      <c r="M570" s="238"/>
      <c r="N570" s="238"/>
      <c r="O570" s="251"/>
      <c r="P570" s="247"/>
      <c r="Q570" s="247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>
      <c r="A571" s="247"/>
      <c r="B571" s="247"/>
      <c r="C571" s="247"/>
      <c r="D571" s="238"/>
      <c r="E571" s="254"/>
      <c r="F571" s="255"/>
      <c r="G571" s="238"/>
      <c r="H571" s="247"/>
      <c r="I571" s="238"/>
      <c r="J571" s="247"/>
      <c r="K571" s="247"/>
      <c r="L571" s="247"/>
      <c r="M571" s="238"/>
      <c r="N571" s="238"/>
      <c r="O571" s="251"/>
      <c r="P571" s="247"/>
      <c r="Q571" s="247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>
      <c r="A572" s="247"/>
      <c r="B572" s="247"/>
      <c r="C572" s="247"/>
      <c r="D572" s="238"/>
      <c r="E572" s="254"/>
      <c r="F572" s="255"/>
      <c r="G572" s="238"/>
      <c r="H572" s="247"/>
      <c r="I572" s="238"/>
      <c r="J572" s="247"/>
      <c r="K572" s="247"/>
      <c r="L572" s="247"/>
      <c r="M572" s="238"/>
      <c r="N572" s="238"/>
      <c r="O572" s="251"/>
      <c r="P572" s="247"/>
      <c r="Q572" s="247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>
      <c r="A573" s="247"/>
      <c r="B573" s="247"/>
      <c r="C573" s="247"/>
      <c r="D573" s="238"/>
      <c r="E573" s="254"/>
      <c r="F573" s="255"/>
      <c r="G573" s="238"/>
      <c r="H573" s="247"/>
      <c r="I573" s="238"/>
      <c r="J573" s="247"/>
      <c r="K573" s="247"/>
      <c r="L573" s="247"/>
      <c r="M573" s="238"/>
      <c r="N573" s="238"/>
      <c r="O573" s="251"/>
      <c r="P573" s="247"/>
      <c r="Q573" s="247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>
      <c r="A574" s="247"/>
      <c r="B574" s="247"/>
      <c r="C574" s="247"/>
      <c r="D574" s="238"/>
      <c r="E574" s="254"/>
      <c r="F574" s="255"/>
      <c r="G574" s="238"/>
      <c r="H574" s="247"/>
      <c r="I574" s="238"/>
      <c r="J574" s="247"/>
      <c r="K574" s="247"/>
      <c r="L574" s="247"/>
      <c r="M574" s="238"/>
      <c r="N574" s="238"/>
      <c r="O574" s="251"/>
      <c r="P574" s="247"/>
      <c r="Q574" s="247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>
      <c r="A575" s="247"/>
      <c r="B575" s="247"/>
      <c r="C575" s="247"/>
      <c r="D575" s="238"/>
      <c r="E575" s="254"/>
      <c r="F575" s="255"/>
      <c r="G575" s="238"/>
      <c r="H575" s="247"/>
      <c r="I575" s="238"/>
      <c r="J575" s="247"/>
      <c r="K575" s="247"/>
      <c r="L575" s="247"/>
      <c r="M575" s="238"/>
      <c r="N575" s="238"/>
      <c r="O575" s="251"/>
      <c r="P575" s="247"/>
      <c r="Q575" s="247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>
      <c r="A576" s="247"/>
      <c r="B576" s="247"/>
      <c r="C576" s="247"/>
      <c r="D576" s="238"/>
      <c r="E576" s="254"/>
      <c r="F576" s="255"/>
      <c r="G576" s="238"/>
      <c r="H576" s="247"/>
      <c r="I576" s="238"/>
      <c r="J576" s="247"/>
      <c r="K576" s="247"/>
      <c r="L576" s="247"/>
      <c r="M576" s="238"/>
      <c r="N576" s="238"/>
      <c r="O576" s="251"/>
      <c r="P576" s="247"/>
      <c r="Q576" s="247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>
      <c r="A577" s="247"/>
      <c r="B577" s="247"/>
      <c r="C577" s="247"/>
      <c r="D577" s="238"/>
      <c r="E577" s="254"/>
      <c r="F577" s="255"/>
      <c r="G577" s="238"/>
      <c r="H577" s="247"/>
      <c r="I577" s="238"/>
      <c r="J577" s="247"/>
      <c r="K577" s="247"/>
      <c r="L577" s="247"/>
      <c r="M577" s="238"/>
      <c r="N577" s="238"/>
      <c r="O577" s="251"/>
      <c r="P577" s="247"/>
      <c r="Q577" s="247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>
      <c r="A578" s="247"/>
      <c r="B578" s="247"/>
      <c r="C578" s="247"/>
      <c r="D578" s="238"/>
      <c r="E578" s="254"/>
      <c r="F578" s="255"/>
      <c r="G578" s="238"/>
      <c r="H578" s="247"/>
      <c r="I578" s="238"/>
      <c r="J578" s="247"/>
      <c r="K578" s="247"/>
      <c r="L578" s="247"/>
      <c r="M578" s="238"/>
      <c r="N578" s="238"/>
      <c r="O578" s="251"/>
      <c r="P578" s="247"/>
      <c r="Q578" s="247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>
      <c r="A579" s="247"/>
      <c r="B579" s="247"/>
      <c r="C579" s="247"/>
      <c r="D579" s="238"/>
      <c r="E579" s="254"/>
      <c r="F579" s="255"/>
      <c r="G579" s="238"/>
      <c r="H579" s="247"/>
      <c r="I579" s="238"/>
      <c r="J579" s="247"/>
      <c r="K579" s="247"/>
      <c r="L579" s="247"/>
      <c r="M579" s="238"/>
      <c r="N579" s="238"/>
      <c r="O579" s="251"/>
      <c r="P579" s="247"/>
      <c r="Q579" s="247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>
      <c r="A580" s="247"/>
      <c r="B580" s="247"/>
      <c r="C580" s="247"/>
      <c r="D580" s="238"/>
      <c r="E580" s="254"/>
      <c r="F580" s="255"/>
      <c r="G580" s="238"/>
      <c r="H580" s="247"/>
      <c r="I580" s="238"/>
      <c r="J580" s="247"/>
      <c r="K580" s="247"/>
      <c r="L580" s="247"/>
      <c r="M580" s="238"/>
      <c r="N580" s="238"/>
      <c r="O580" s="251"/>
      <c r="P580" s="247"/>
      <c r="Q580" s="247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>
      <c r="A581" s="247"/>
      <c r="B581" s="247"/>
      <c r="C581" s="247"/>
      <c r="D581" s="238"/>
      <c r="E581" s="254"/>
      <c r="F581" s="255"/>
      <c r="G581" s="238"/>
      <c r="H581" s="247"/>
      <c r="I581" s="238"/>
      <c r="J581" s="247"/>
      <c r="K581" s="247"/>
      <c r="L581" s="247"/>
      <c r="M581" s="238"/>
      <c r="N581" s="238"/>
      <c r="O581" s="251"/>
      <c r="P581" s="247"/>
      <c r="Q581" s="247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>
      <c r="A582" s="247"/>
      <c r="B582" s="247"/>
      <c r="C582" s="247"/>
      <c r="D582" s="238"/>
      <c r="E582" s="254"/>
      <c r="F582" s="255"/>
      <c r="G582" s="238"/>
      <c r="H582" s="247"/>
      <c r="I582" s="238"/>
      <c r="J582" s="247"/>
      <c r="K582" s="247"/>
      <c r="L582" s="247"/>
      <c r="M582" s="238"/>
      <c r="N582" s="238"/>
      <c r="O582" s="251"/>
      <c r="P582" s="247"/>
      <c r="Q582" s="247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>
      <c r="A583" s="247"/>
      <c r="B583" s="247"/>
      <c r="C583" s="247"/>
      <c r="D583" s="238"/>
      <c r="E583" s="254"/>
      <c r="F583" s="255"/>
      <c r="G583" s="238"/>
      <c r="H583" s="247"/>
      <c r="I583" s="238"/>
      <c r="J583" s="247"/>
      <c r="K583" s="247"/>
      <c r="L583" s="247"/>
      <c r="M583" s="238"/>
      <c r="N583" s="238"/>
      <c r="O583" s="251"/>
      <c r="P583" s="247"/>
      <c r="Q583" s="247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>
      <c r="A584" s="247"/>
      <c r="B584" s="247"/>
      <c r="C584" s="247"/>
      <c r="D584" s="238"/>
      <c r="E584" s="254"/>
      <c r="F584" s="255"/>
      <c r="G584" s="238"/>
      <c r="H584" s="247"/>
      <c r="I584" s="238"/>
      <c r="J584" s="247"/>
      <c r="K584" s="247"/>
      <c r="L584" s="247"/>
      <c r="M584" s="238"/>
      <c r="N584" s="238"/>
      <c r="O584" s="251"/>
      <c r="P584" s="247"/>
      <c r="Q584" s="247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>
      <c r="A585" s="247"/>
      <c r="B585" s="247"/>
      <c r="C585" s="247"/>
      <c r="D585" s="238"/>
      <c r="E585" s="254"/>
      <c r="F585" s="255"/>
      <c r="G585" s="238"/>
      <c r="H585" s="247"/>
      <c r="I585" s="238"/>
      <c r="J585" s="247"/>
      <c r="K585" s="247"/>
      <c r="L585" s="247"/>
      <c r="M585" s="238"/>
      <c r="N585" s="238"/>
      <c r="O585" s="251"/>
      <c r="P585" s="247"/>
      <c r="Q585" s="247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>
      <c r="A586" s="247"/>
      <c r="B586" s="247"/>
      <c r="C586" s="247"/>
      <c r="D586" s="238"/>
      <c r="E586" s="254"/>
      <c r="F586" s="255"/>
      <c r="G586" s="238"/>
      <c r="H586" s="247"/>
      <c r="I586" s="238"/>
      <c r="J586" s="247"/>
      <c r="K586" s="247"/>
      <c r="L586" s="247"/>
      <c r="M586" s="238"/>
      <c r="N586" s="238"/>
      <c r="O586" s="251"/>
      <c r="P586" s="247"/>
      <c r="Q586" s="247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>
      <c r="A587" s="247"/>
      <c r="B587" s="247"/>
      <c r="C587" s="247"/>
      <c r="D587" s="238"/>
      <c r="E587" s="254"/>
      <c r="F587" s="255"/>
      <c r="G587" s="238"/>
      <c r="H587" s="247"/>
      <c r="I587" s="238"/>
      <c r="J587" s="247"/>
      <c r="K587" s="247"/>
      <c r="L587" s="247"/>
      <c r="M587" s="238"/>
      <c r="N587" s="238"/>
      <c r="O587" s="251"/>
      <c r="P587" s="247"/>
      <c r="Q587" s="247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>
      <c r="A588" s="247"/>
      <c r="B588" s="247"/>
      <c r="C588" s="247"/>
      <c r="D588" s="238"/>
      <c r="E588" s="254"/>
      <c r="F588" s="255"/>
      <c r="G588" s="238"/>
      <c r="H588" s="247"/>
      <c r="I588" s="238"/>
      <c r="J588" s="247"/>
      <c r="K588" s="247"/>
      <c r="L588" s="247"/>
      <c r="M588" s="238"/>
      <c r="N588" s="238"/>
      <c r="O588" s="251"/>
      <c r="P588" s="247"/>
      <c r="Q588" s="247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>
      <c r="A589" s="247"/>
      <c r="B589" s="247"/>
      <c r="C589" s="247"/>
      <c r="D589" s="238"/>
      <c r="E589" s="254"/>
      <c r="F589" s="255"/>
      <c r="G589" s="238"/>
      <c r="H589" s="247"/>
      <c r="I589" s="238"/>
      <c r="J589" s="247"/>
      <c r="K589" s="247"/>
      <c r="L589" s="247"/>
      <c r="M589" s="238"/>
      <c r="N589" s="238"/>
      <c r="O589" s="251"/>
      <c r="P589" s="247"/>
      <c r="Q589" s="247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>
      <c r="A590" s="247"/>
      <c r="B590" s="247"/>
      <c r="C590" s="247"/>
      <c r="D590" s="238"/>
      <c r="E590" s="254"/>
      <c r="F590" s="255"/>
      <c r="G590" s="238"/>
      <c r="H590" s="247"/>
      <c r="I590" s="238"/>
      <c r="J590" s="247"/>
      <c r="K590" s="247"/>
      <c r="L590" s="247"/>
      <c r="M590" s="238"/>
      <c r="N590" s="238"/>
      <c r="O590" s="251"/>
      <c r="P590" s="247"/>
      <c r="Q590" s="247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>
      <c r="A591" s="247"/>
      <c r="B591" s="247"/>
      <c r="C591" s="247"/>
      <c r="D591" s="238"/>
      <c r="E591" s="254"/>
      <c r="F591" s="255"/>
      <c r="G591" s="238"/>
      <c r="H591" s="247"/>
      <c r="I591" s="238"/>
      <c r="J591" s="247"/>
      <c r="K591" s="247"/>
      <c r="L591" s="247"/>
      <c r="M591" s="238"/>
      <c r="N591" s="238"/>
      <c r="O591" s="251"/>
      <c r="P591" s="247"/>
      <c r="Q591" s="247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>
      <c r="A592" s="247"/>
      <c r="B592" s="247"/>
      <c r="C592" s="247"/>
      <c r="D592" s="238"/>
      <c r="E592" s="254"/>
      <c r="F592" s="255"/>
      <c r="G592" s="238"/>
      <c r="H592" s="247"/>
      <c r="I592" s="238"/>
      <c r="J592" s="247"/>
      <c r="K592" s="247"/>
      <c r="L592" s="247"/>
      <c r="M592" s="238"/>
      <c r="N592" s="238"/>
      <c r="O592" s="251"/>
      <c r="P592" s="247"/>
      <c r="Q592" s="247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>
      <c r="A593" s="247"/>
      <c r="B593" s="247"/>
      <c r="C593" s="247"/>
      <c r="D593" s="238"/>
      <c r="E593" s="254"/>
      <c r="F593" s="255"/>
      <c r="G593" s="238"/>
      <c r="H593" s="247"/>
      <c r="I593" s="238"/>
      <c r="J593" s="247"/>
      <c r="K593" s="247"/>
      <c r="L593" s="247"/>
      <c r="M593" s="238"/>
      <c r="N593" s="238"/>
      <c r="O593" s="251"/>
      <c r="P593" s="247"/>
      <c r="Q593" s="247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>
      <c r="A594" s="247"/>
      <c r="B594" s="247"/>
      <c r="C594" s="247"/>
      <c r="D594" s="238"/>
      <c r="E594" s="254"/>
      <c r="F594" s="255"/>
      <c r="G594" s="238"/>
      <c r="H594" s="247"/>
      <c r="I594" s="238"/>
      <c r="J594" s="247"/>
      <c r="K594" s="247"/>
      <c r="L594" s="247"/>
      <c r="M594" s="238"/>
      <c r="N594" s="238"/>
      <c r="O594" s="251"/>
      <c r="P594" s="247"/>
      <c r="Q594" s="247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>
      <c r="A595" s="247"/>
      <c r="B595" s="247"/>
      <c r="C595" s="247"/>
      <c r="D595" s="238"/>
      <c r="E595" s="254"/>
      <c r="F595" s="255"/>
      <c r="G595" s="238"/>
      <c r="H595" s="247"/>
      <c r="I595" s="238"/>
      <c r="J595" s="247"/>
      <c r="K595" s="247"/>
      <c r="L595" s="247"/>
      <c r="M595" s="238"/>
      <c r="N595" s="238"/>
      <c r="O595" s="251"/>
      <c r="P595" s="247"/>
      <c r="Q595" s="247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>
      <c r="A596" s="247"/>
      <c r="B596" s="247"/>
      <c r="C596" s="247"/>
      <c r="D596" s="238"/>
      <c r="E596" s="254"/>
      <c r="F596" s="255"/>
      <c r="G596" s="238"/>
      <c r="H596" s="247"/>
      <c r="I596" s="238"/>
      <c r="J596" s="247"/>
      <c r="K596" s="247"/>
      <c r="L596" s="247"/>
      <c r="M596" s="238"/>
      <c r="N596" s="238"/>
      <c r="O596" s="251"/>
      <c r="P596" s="247"/>
      <c r="Q596" s="247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>
      <c r="A597" s="247"/>
      <c r="B597" s="247"/>
      <c r="C597" s="247"/>
      <c r="D597" s="238"/>
      <c r="E597" s="254"/>
      <c r="F597" s="255"/>
      <c r="G597" s="238"/>
      <c r="H597" s="247"/>
      <c r="I597" s="238"/>
      <c r="J597" s="247"/>
      <c r="K597" s="247"/>
      <c r="L597" s="247"/>
      <c r="M597" s="238"/>
      <c r="N597" s="238"/>
      <c r="O597" s="251"/>
      <c r="P597" s="247"/>
      <c r="Q597" s="247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>
      <c r="A598" s="247"/>
      <c r="B598" s="247"/>
      <c r="C598" s="247"/>
      <c r="D598" s="238"/>
      <c r="E598" s="254"/>
      <c r="F598" s="255"/>
      <c r="G598" s="238"/>
      <c r="H598" s="247"/>
      <c r="I598" s="238"/>
      <c r="J598" s="247"/>
      <c r="K598" s="247"/>
      <c r="L598" s="247"/>
      <c r="M598" s="238"/>
      <c r="N598" s="238"/>
      <c r="O598" s="251"/>
      <c r="P598" s="247"/>
      <c r="Q598" s="247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>
      <c r="A599" s="247"/>
      <c r="B599" s="247"/>
      <c r="C599" s="247"/>
      <c r="D599" s="238"/>
      <c r="E599" s="254"/>
      <c r="F599" s="255"/>
      <c r="G599" s="238"/>
      <c r="H599" s="247"/>
      <c r="I599" s="238"/>
      <c r="J599" s="247"/>
      <c r="K599" s="247"/>
      <c r="L599" s="247"/>
      <c r="M599" s="238"/>
      <c r="N599" s="238"/>
      <c r="O599" s="251"/>
      <c r="P599" s="247"/>
      <c r="Q599" s="247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>
      <c r="A600" s="247"/>
      <c r="B600" s="247"/>
      <c r="C600" s="247"/>
      <c r="D600" s="238"/>
      <c r="E600" s="254"/>
      <c r="F600" s="255"/>
      <c r="G600" s="238"/>
      <c r="H600" s="247"/>
      <c r="I600" s="238"/>
      <c r="J600" s="247"/>
      <c r="K600" s="247"/>
      <c r="L600" s="247"/>
      <c r="M600" s="238"/>
      <c r="N600" s="238"/>
      <c r="O600" s="251"/>
      <c r="P600" s="247"/>
      <c r="Q600" s="247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>
      <c r="A601" s="247"/>
      <c r="B601" s="247"/>
      <c r="C601" s="247"/>
      <c r="D601" s="238"/>
      <c r="E601" s="254"/>
      <c r="F601" s="255"/>
      <c r="G601" s="238"/>
      <c r="H601" s="247"/>
      <c r="I601" s="238"/>
      <c r="J601" s="247"/>
      <c r="K601" s="247"/>
      <c r="L601" s="247"/>
      <c r="M601" s="238"/>
      <c r="N601" s="238"/>
      <c r="O601" s="251"/>
      <c r="P601" s="247"/>
      <c r="Q601" s="247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>
      <c r="A602" s="247"/>
      <c r="B602" s="247"/>
      <c r="C602" s="247"/>
      <c r="D602" s="238"/>
      <c r="E602" s="254"/>
      <c r="F602" s="255"/>
      <c r="G602" s="238"/>
      <c r="H602" s="247"/>
      <c r="I602" s="238"/>
      <c r="J602" s="247"/>
      <c r="K602" s="247"/>
      <c r="L602" s="247"/>
      <c r="M602" s="238"/>
      <c r="N602" s="238"/>
      <c r="O602" s="251"/>
      <c r="P602" s="247"/>
      <c r="Q602" s="247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>
      <c r="A603" s="247"/>
      <c r="B603" s="247"/>
      <c r="C603" s="247"/>
      <c r="D603" s="238"/>
      <c r="E603" s="254"/>
      <c r="F603" s="255"/>
      <c r="G603" s="238"/>
      <c r="H603" s="247"/>
      <c r="I603" s="238"/>
      <c r="J603" s="247"/>
      <c r="K603" s="247"/>
      <c r="L603" s="247"/>
      <c r="M603" s="238"/>
      <c r="N603" s="238"/>
      <c r="O603" s="251"/>
      <c r="P603" s="247"/>
      <c r="Q603" s="247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>
      <c r="A604" s="247"/>
      <c r="B604" s="247"/>
      <c r="C604" s="247"/>
      <c r="D604" s="238"/>
      <c r="E604" s="254"/>
      <c r="F604" s="255"/>
      <c r="G604" s="238"/>
      <c r="H604" s="247"/>
      <c r="I604" s="238"/>
      <c r="J604" s="247"/>
      <c r="K604" s="247"/>
      <c r="L604" s="247"/>
      <c r="M604" s="238"/>
      <c r="N604" s="238"/>
      <c r="O604" s="251"/>
      <c r="P604" s="247"/>
      <c r="Q604" s="247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>
      <c r="A605" s="247"/>
      <c r="B605" s="247"/>
      <c r="C605" s="247"/>
      <c r="D605" s="238"/>
      <c r="E605" s="254"/>
      <c r="F605" s="255"/>
      <c r="G605" s="238"/>
      <c r="H605" s="247"/>
      <c r="I605" s="238"/>
      <c r="J605" s="247"/>
      <c r="K605" s="247"/>
      <c r="L605" s="247"/>
      <c r="M605" s="238"/>
      <c r="N605" s="238"/>
      <c r="O605" s="251"/>
      <c r="P605" s="247"/>
      <c r="Q605" s="247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>
      <c r="A606" s="247"/>
      <c r="B606" s="247"/>
      <c r="C606" s="247"/>
      <c r="D606" s="238"/>
      <c r="E606" s="254"/>
      <c r="F606" s="255"/>
      <c r="G606" s="238"/>
      <c r="H606" s="247"/>
      <c r="I606" s="238"/>
      <c r="J606" s="247"/>
      <c r="K606" s="247"/>
      <c r="L606" s="247"/>
      <c r="M606" s="238"/>
      <c r="N606" s="238"/>
      <c r="O606" s="251"/>
      <c r="P606" s="247"/>
      <c r="Q606" s="247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>
      <c r="A607" s="247"/>
      <c r="B607" s="247"/>
      <c r="C607" s="247"/>
      <c r="D607" s="238"/>
      <c r="E607" s="254"/>
      <c r="F607" s="255"/>
      <c r="G607" s="238"/>
      <c r="H607" s="247"/>
      <c r="I607" s="238"/>
      <c r="J607" s="247"/>
      <c r="K607" s="247"/>
      <c r="L607" s="247"/>
      <c r="M607" s="238"/>
      <c r="N607" s="238"/>
      <c r="O607" s="251"/>
      <c r="P607" s="247"/>
      <c r="Q607" s="247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>
      <c r="A608" s="247"/>
      <c r="B608" s="247"/>
      <c r="C608" s="247"/>
      <c r="D608" s="238"/>
      <c r="E608" s="254"/>
      <c r="F608" s="255"/>
      <c r="G608" s="238"/>
      <c r="H608" s="247"/>
      <c r="I608" s="238"/>
      <c r="J608" s="247"/>
      <c r="K608" s="247"/>
      <c r="L608" s="247"/>
      <c r="M608" s="238"/>
      <c r="N608" s="238"/>
      <c r="O608" s="251"/>
      <c r="P608" s="247"/>
      <c r="Q608" s="247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>
      <c r="A609" s="247"/>
      <c r="B609" s="247"/>
      <c r="C609" s="247"/>
      <c r="D609" s="238"/>
      <c r="E609" s="254"/>
      <c r="F609" s="255"/>
      <c r="G609" s="238"/>
      <c r="H609" s="247"/>
      <c r="I609" s="238"/>
      <c r="J609" s="247"/>
      <c r="K609" s="247"/>
      <c r="L609" s="247"/>
      <c r="M609" s="238"/>
      <c r="N609" s="238"/>
      <c r="O609" s="251"/>
      <c r="P609" s="247"/>
      <c r="Q609" s="247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>
      <c r="A610" s="247"/>
      <c r="B610" s="247"/>
      <c r="C610" s="247"/>
      <c r="D610" s="238"/>
      <c r="E610" s="254"/>
      <c r="F610" s="255"/>
      <c r="G610" s="238"/>
      <c r="H610" s="247"/>
      <c r="I610" s="238"/>
      <c r="J610" s="247"/>
      <c r="K610" s="247"/>
      <c r="L610" s="247"/>
      <c r="M610" s="238"/>
      <c r="N610" s="238"/>
      <c r="O610" s="251"/>
      <c r="P610" s="247"/>
      <c r="Q610" s="247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>
      <c r="A611" s="247"/>
      <c r="B611" s="247"/>
      <c r="C611" s="247"/>
      <c r="D611" s="238"/>
      <c r="E611" s="254"/>
      <c r="F611" s="255"/>
      <c r="G611" s="238"/>
      <c r="H611" s="247"/>
      <c r="I611" s="238"/>
      <c r="J611" s="247"/>
      <c r="K611" s="247"/>
      <c r="L611" s="247"/>
      <c r="M611" s="238"/>
      <c r="N611" s="238"/>
      <c r="O611" s="251"/>
      <c r="P611" s="247"/>
      <c r="Q611" s="247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>
      <c r="A612" s="247"/>
      <c r="B612" s="247"/>
      <c r="C612" s="247"/>
      <c r="D612" s="238"/>
      <c r="E612" s="254"/>
      <c r="F612" s="255"/>
      <c r="G612" s="238"/>
      <c r="H612" s="247"/>
      <c r="I612" s="238"/>
      <c r="J612" s="247"/>
      <c r="K612" s="247"/>
      <c r="L612" s="247"/>
      <c r="M612" s="238"/>
      <c r="N612" s="238"/>
      <c r="O612" s="251"/>
      <c r="P612" s="247"/>
      <c r="Q612" s="247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>
      <c r="A613" s="247"/>
      <c r="B613" s="247"/>
      <c r="C613" s="247"/>
      <c r="D613" s="238"/>
      <c r="E613" s="254"/>
      <c r="F613" s="255"/>
      <c r="G613" s="238"/>
      <c r="H613" s="247"/>
      <c r="I613" s="238"/>
      <c r="J613" s="247"/>
      <c r="K613" s="247"/>
      <c r="L613" s="247"/>
      <c r="M613" s="238"/>
      <c r="N613" s="238"/>
      <c r="O613" s="251"/>
      <c r="P613" s="247"/>
      <c r="Q613" s="247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>
      <c r="A614" s="247"/>
      <c r="B614" s="247"/>
      <c r="C614" s="247"/>
      <c r="D614" s="238"/>
      <c r="E614" s="254"/>
      <c r="F614" s="255"/>
      <c r="G614" s="238"/>
      <c r="H614" s="247"/>
      <c r="I614" s="238"/>
      <c r="J614" s="247"/>
      <c r="K614" s="247"/>
      <c r="L614" s="247"/>
      <c r="M614" s="238"/>
      <c r="N614" s="238"/>
      <c r="O614" s="251"/>
      <c r="P614" s="247"/>
      <c r="Q614" s="247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>
      <c r="A615" s="247"/>
      <c r="B615" s="247"/>
      <c r="C615" s="247"/>
      <c r="D615" s="238"/>
      <c r="E615" s="254"/>
      <c r="F615" s="255"/>
      <c r="G615" s="238"/>
      <c r="H615" s="247"/>
      <c r="I615" s="238"/>
      <c r="J615" s="247"/>
      <c r="K615" s="247"/>
      <c r="L615" s="247"/>
      <c r="M615" s="238"/>
      <c r="N615" s="238"/>
      <c r="O615" s="251"/>
      <c r="P615" s="247"/>
      <c r="Q615" s="247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>
      <c r="A616" s="247"/>
      <c r="B616" s="247"/>
      <c r="C616" s="247"/>
      <c r="D616" s="238"/>
      <c r="E616" s="254"/>
      <c r="F616" s="255"/>
      <c r="G616" s="238"/>
      <c r="H616" s="247"/>
      <c r="I616" s="238"/>
      <c r="J616" s="247"/>
      <c r="K616" s="247"/>
      <c r="L616" s="247"/>
      <c r="M616" s="238"/>
      <c r="N616" s="238"/>
      <c r="O616" s="251"/>
      <c r="P616" s="247"/>
      <c r="Q616" s="247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>
      <c r="A617" s="247"/>
      <c r="B617" s="247"/>
      <c r="C617" s="247"/>
      <c r="D617" s="238"/>
      <c r="E617" s="254"/>
      <c r="F617" s="255"/>
      <c r="G617" s="238"/>
      <c r="H617" s="247"/>
      <c r="I617" s="238"/>
      <c r="J617" s="247"/>
      <c r="K617" s="247"/>
      <c r="L617" s="247"/>
      <c r="M617" s="238"/>
      <c r="N617" s="238"/>
      <c r="O617" s="251"/>
      <c r="P617" s="247"/>
      <c r="Q617" s="247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>
      <c r="A618" s="247"/>
      <c r="B618" s="247"/>
      <c r="C618" s="247"/>
      <c r="D618" s="238"/>
      <c r="E618" s="254"/>
      <c r="F618" s="255"/>
      <c r="G618" s="238"/>
      <c r="H618" s="247"/>
      <c r="I618" s="238"/>
      <c r="J618" s="247"/>
      <c r="K618" s="247"/>
      <c r="L618" s="247"/>
      <c r="M618" s="238"/>
      <c r="N618" s="238"/>
      <c r="O618" s="251"/>
      <c r="P618" s="247"/>
      <c r="Q618" s="247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>
      <c r="A619" s="247"/>
      <c r="B619" s="247"/>
      <c r="C619" s="247"/>
      <c r="D619" s="238"/>
      <c r="E619" s="254"/>
      <c r="F619" s="255"/>
      <c r="G619" s="238"/>
      <c r="H619" s="247"/>
      <c r="I619" s="238"/>
      <c r="J619" s="247"/>
      <c r="K619" s="247"/>
      <c r="L619" s="247"/>
      <c r="M619" s="238"/>
      <c r="N619" s="238"/>
      <c r="O619" s="251"/>
      <c r="P619" s="247"/>
      <c r="Q619" s="247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>
      <c r="A620" s="247"/>
      <c r="B620" s="247"/>
      <c r="C620" s="247"/>
      <c r="D620" s="238"/>
      <c r="E620" s="254"/>
      <c r="F620" s="255"/>
      <c r="G620" s="238"/>
      <c r="H620" s="247"/>
      <c r="I620" s="238"/>
      <c r="J620" s="247"/>
      <c r="K620" s="247"/>
      <c r="L620" s="247"/>
      <c r="M620" s="238"/>
      <c r="N620" s="238"/>
      <c r="O620" s="251"/>
      <c r="P620" s="247"/>
      <c r="Q620" s="247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>
      <c r="A621" s="247"/>
      <c r="B621" s="247"/>
      <c r="C621" s="247"/>
      <c r="D621" s="238"/>
      <c r="E621" s="254"/>
      <c r="F621" s="255"/>
      <c r="G621" s="238"/>
      <c r="H621" s="247"/>
      <c r="I621" s="238"/>
      <c r="J621" s="247"/>
      <c r="K621" s="247"/>
      <c r="L621" s="247"/>
      <c r="M621" s="238"/>
      <c r="N621" s="238"/>
      <c r="O621" s="251"/>
      <c r="P621" s="247"/>
      <c r="Q621" s="247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>
      <c r="A622" s="247"/>
      <c r="B622" s="247"/>
      <c r="C622" s="247"/>
      <c r="D622" s="238"/>
      <c r="E622" s="254"/>
      <c r="F622" s="255"/>
      <c r="G622" s="238"/>
      <c r="H622" s="247"/>
      <c r="I622" s="238"/>
      <c r="J622" s="247"/>
      <c r="K622" s="247"/>
      <c r="L622" s="247"/>
      <c r="M622" s="238"/>
      <c r="N622" s="238"/>
      <c r="O622" s="251"/>
      <c r="P622" s="247"/>
      <c r="Q622" s="247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>
      <c r="A623" s="247"/>
      <c r="B623" s="247"/>
      <c r="C623" s="247"/>
      <c r="D623" s="238"/>
      <c r="E623" s="254"/>
      <c r="F623" s="255"/>
      <c r="G623" s="238"/>
      <c r="H623" s="247"/>
      <c r="I623" s="238"/>
      <c r="J623" s="247"/>
      <c r="K623" s="247"/>
      <c r="L623" s="247"/>
      <c r="M623" s="238"/>
      <c r="N623" s="238"/>
      <c r="O623" s="251"/>
      <c r="P623" s="247"/>
      <c r="Q623" s="247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>
      <c r="A624" s="247"/>
      <c r="B624" s="247"/>
      <c r="C624" s="247"/>
      <c r="D624" s="238"/>
      <c r="E624" s="254"/>
      <c r="F624" s="255"/>
      <c r="G624" s="238"/>
      <c r="H624" s="247"/>
      <c r="I624" s="238"/>
      <c r="J624" s="247"/>
      <c r="K624" s="247"/>
      <c r="L624" s="247"/>
      <c r="M624" s="238"/>
      <c r="N624" s="238"/>
      <c r="O624" s="251"/>
      <c r="P624" s="247"/>
      <c r="Q624" s="247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>
      <c r="A625" s="247"/>
      <c r="B625" s="247"/>
      <c r="C625" s="247"/>
      <c r="D625" s="238"/>
      <c r="E625" s="254"/>
      <c r="F625" s="255"/>
      <c r="G625" s="238"/>
      <c r="H625" s="247"/>
      <c r="I625" s="238"/>
      <c r="J625" s="247"/>
      <c r="K625" s="247"/>
      <c r="L625" s="247"/>
      <c r="M625" s="238"/>
      <c r="N625" s="238"/>
      <c r="O625" s="251"/>
      <c r="P625" s="247"/>
      <c r="Q625" s="247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>
      <c r="A626" s="247"/>
      <c r="B626" s="247"/>
      <c r="C626" s="247"/>
      <c r="D626" s="238"/>
      <c r="E626" s="254"/>
      <c r="F626" s="255"/>
      <c r="G626" s="238"/>
      <c r="H626" s="247"/>
      <c r="I626" s="238"/>
      <c r="J626" s="247"/>
      <c r="K626" s="247"/>
      <c r="L626" s="247"/>
      <c r="M626" s="238"/>
      <c r="N626" s="238"/>
      <c r="O626" s="251"/>
      <c r="P626" s="247"/>
      <c r="Q626" s="247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>
      <c r="A627" s="247"/>
      <c r="B627" s="247"/>
      <c r="C627" s="247"/>
      <c r="D627" s="238"/>
      <c r="E627" s="254"/>
      <c r="F627" s="255"/>
      <c r="G627" s="238"/>
      <c r="H627" s="247"/>
      <c r="I627" s="238"/>
      <c r="J627" s="247"/>
      <c r="K627" s="247"/>
      <c r="L627" s="247"/>
      <c r="M627" s="238"/>
      <c r="N627" s="238"/>
      <c r="O627" s="251"/>
      <c r="P627" s="247"/>
      <c r="Q627" s="247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>
      <c r="A628" s="247"/>
      <c r="B628" s="247"/>
      <c r="C628" s="247"/>
      <c r="D628" s="238"/>
      <c r="E628" s="254"/>
      <c r="F628" s="255"/>
      <c r="G628" s="238"/>
      <c r="H628" s="247"/>
      <c r="I628" s="238"/>
      <c r="J628" s="247"/>
      <c r="K628" s="247"/>
      <c r="L628" s="247"/>
      <c r="M628" s="238"/>
      <c r="N628" s="238"/>
      <c r="O628" s="251"/>
      <c r="P628" s="247"/>
      <c r="Q628" s="247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>
      <c r="A629" s="247"/>
      <c r="B629" s="247"/>
      <c r="C629" s="247"/>
      <c r="D629" s="238"/>
      <c r="E629" s="254"/>
      <c r="F629" s="255"/>
      <c r="G629" s="238"/>
      <c r="H629" s="247"/>
      <c r="I629" s="238"/>
      <c r="J629" s="247"/>
      <c r="K629" s="247"/>
      <c r="L629" s="247"/>
      <c r="M629" s="238"/>
      <c r="N629" s="238"/>
      <c r="O629" s="251"/>
      <c r="P629" s="247"/>
      <c r="Q629" s="247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>
      <c r="A630" s="247"/>
      <c r="B630" s="247"/>
      <c r="C630" s="247"/>
      <c r="D630" s="238"/>
      <c r="E630" s="254"/>
      <c r="F630" s="255"/>
      <c r="G630" s="238"/>
      <c r="H630" s="247"/>
      <c r="I630" s="238"/>
      <c r="J630" s="247"/>
      <c r="K630" s="247"/>
      <c r="L630" s="247"/>
      <c r="M630" s="238"/>
      <c r="N630" s="238"/>
      <c r="O630" s="251"/>
      <c r="P630" s="247"/>
      <c r="Q630" s="247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>
      <c r="A631" s="247"/>
      <c r="B631" s="247"/>
      <c r="C631" s="247"/>
      <c r="D631" s="238"/>
      <c r="E631" s="254"/>
      <c r="F631" s="255"/>
      <c r="G631" s="238"/>
      <c r="H631" s="247"/>
      <c r="I631" s="238"/>
      <c r="J631" s="247"/>
      <c r="K631" s="247"/>
      <c r="L631" s="247"/>
      <c r="M631" s="238"/>
      <c r="N631" s="238"/>
      <c r="O631" s="251"/>
      <c r="P631" s="247"/>
      <c r="Q631" s="247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>
      <c r="A632" s="247"/>
      <c r="B632" s="247"/>
      <c r="C632" s="247"/>
      <c r="D632" s="238"/>
      <c r="E632" s="254"/>
      <c r="F632" s="255"/>
      <c r="G632" s="238"/>
      <c r="H632" s="247"/>
      <c r="I632" s="238"/>
      <c r="J632" s="247"/>
      <c r="K632" s="247"/>
      <c r="L632" s="247"/>
      <c r="M632" s="238"/>
      <c r="N632" s="238"/>
      <c r="O632" s="251"/>
      <c r="P632" s="247"/>
      <c r="Q632" s="247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>
      <c r="A633" s="247"/>
      <c r="B633" s="247"/>
      <c r="C633" s="247"/>
      <c r="D633" s="238"/>
      <c r="E633" s="254"/>
      <c r="F633" s="255"/>
      <c r="G633" s="238"/>
      <c r="H633" s="247"/>
      <c r="I633" s="238"/>
      <c r="J633" s="247"/>
      <c r="K633" s="247"/>
      <c r="L633" s="247"/>
      <c r="M633" s="238"/>
      <c r="N633" s="238"/>
      <c r="O633" s="251"/>
      <c r="P633" s="247"/>
      <c r="Q633" s="247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>
      <c r="A634" s="247"/>
      <c r="B634" s="247"/>
      <c r="C634" s="247"/>
      <c r="D634" s="238"/>
      <c r="E634" s="254"/>
      <c r="F634" s="255"/>
      <c r="G634" s="238"/>
      <c r="H634" s="247"/>
      <c r="I634" s="238"/>
      <c r="J634" s="247"/>
      <c r="K634" s="247"/>
      <c r="L634" s="247"/>
      <c r="M634" s="238"/>
      <c r="N634" s="238"/>
      <c r="O634" s="251"/>
      <c r="P634" s="247"/>
      <c r="Q634" s="247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>
      <c r="A635" s="247"/>
      <c r="B635" s="247"/>
      <c r="C635" s="247"/>
      <c r="D635" s="238"/>
      <c r="E635" s="254"/>
      <c r="F635" s="255"/>
      <c r="G635" s="238"/>
      <c r="H635" s="247"/>
      <c r="I635" s="238"/>
      <c r="J635" s="247"/>
      <c r="K635" s="247"/>
      <c r="L635" s="247"/>
      <c r="M635" s="238"/>
      <c r="N635" s="238"/>
      <c r="O635" s="251"/>
      <c r="P635" s="247"/>
      <c r="Q635" s="247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>
      <c r="A636" s="247"/>
      <c r="B636" s="247"/>
      <c r="C636" s="247"/>
      <c r="D636" s="238"/>
      <c r="E636" s="254"/>
      <c r="F636" s="255"/>
      <c r="G636" s="238"/>
      <c r="H636" s="247"/>
      <c r="I636" s="238"/>
      <c r="J636" s="247"/>
      <c r="K636" s="247"/>
      <c r="L636" s="247"/>
      <c r="M636" s="238"/>
      <c r="N636" s="238"/>
      <c r="O636" s="251"/>
      <c r="P636" s="247"/>
      <c r="Q636" s="247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>
      <c r="A637" s="247"/>
      <c r="B637" s="247"/>
      <c r="C637" s="247"/>
      <c r="D637" s="238"/>
      <c r="E637" s="254"/>
      <c r="F637" s="255"/>
      <c r="G637" s="238"/>
      <c r="H637" s="247"/>
      <c r="I637" s="238"/>
      <c r="J637" s="247"/>
      <c r="K637" s="247"/>
      <c r="L637" s="247"/>
      <c r="M637" s="238"/>
      <c r="N637" s="238"/>
      <c r="O637" s="251"/>
      <c r="P637" s="247"/>
      <c r="Q637" s="247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>
      <c r="A638" s="247"/>
      <c r="B638" s="247"/>
      <c r="C638" s="247"/>
      <c r="D638" s="238"/>
      <c r="E638" s="254"/>
      <c r="F638" s="255"/>
      <c r="G638" s="238"/>
      <c r="H638" s="247"/>
      <c r="I638" s="238"/>
      <c r="J638" s="247"/>
      <c r="K638" s="247"/>
      <c r="L638" s="247"/>
      <c r="M638" s="238"/>
      <c r="N638" s="238"/>
      <c r="O638" s="251"/>
      <c r="P638" s="247"/>
      <c r="Q638" s="247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>
      <c r="A639" s="247"/>
      <c r="B639" s="247"/>
      <c r="C639" s="247"/>
      <c r="D639" s="238"/>
      <c r="E639" s="254"/>
      <c r="F639" s="255"/>
      <c r="G639" s="238"/>
      <c r="H639" s="247"/>
      <c r="I639" s="238"/>
      <c r="J639" s="247"/>
      <c r="K639" s="247"/>
      <c r="L639" s="247"/>
      <c r="M639" s="238"/>
      <c r="N639" s="238"/>
      <c r="O639" s="251"/>
      <c r="P639" s="247"/>
      <c r="Q639" s="247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>
      <c r="A640" s="247"/>
      <c r="B640" s="247"/>
      <c r="C640" s="247"/>
      <c r="D640" s="238"/>
      <c r="E640" s="254"/>
      <c r="F640" s="255"/>
      <c r="G640" s="238"/>
      <c r="H640" s="247"/>
      <c r="I640" s="238"/>
      <c r="J640" s="247"/>
      <c r="K640" s="247"/>
      <c r="L640" s="247"/>
      <c r="M640" s="238"/>
      <c r="N640" s="238"/>
      <c r="O640" s="251"/>
      <c r="P640" s="247"/>
      <c r="Q640" s="247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>
      <c r="A641" s="247"/>
      <c r="B641" s="247"/>
      <c r="C641" s="247"/>
      <c r="D641" s="238"/>
      <c r="E641" s="254"/>
      <c r="F641" s="255"/>
      <c r="G641" s="238"/>
      <c r="H641" s="247"/>
      <c r="I641" s="238"/>
      <c r="J641" s="247"/>
      <c r="K641" s="247"/>
      <c r="L641" s="247"/>
      <c r="M641" s="238"/>
      <c r="N641" s="238"/>
      <c r="O641" s="251"/>
      <c r="P641" s="247"/>
      <c r="Q641" s="247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>
      <c r="A642" s="247"/>
      <c r="B642" s="247"/>
      <c r="C642" s="247"/>
      <c r="D642" s="238"/>
      <c r="E642" s="254"/>
      <c r="F642" s="255"/>
      <c r="G642" s="238"/>
      <c r="H642" s="247"/>
      <c r="I642" s="238"/>
      <c r="J642" s="247"/>
      <c r="K642" s="247"/>
      <c r="L642" s="247"/>
      <c r="M642" s="238"/>
      <c r="N642" s="238"/>
      <c r="O642" s="251"/>
      <c r="P642" s="247"/>
      <c r="Q642" s="247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>
      <c r="A643" s="247"/>
      <c r="B643" s="247"/>
      <c r="C643" s="247"/>
      <c r="D643" s="238"/>
      <c r="E643" s="254"/>
      <c r="F643" s="255"/>
      <c r="G643" s="238"/>
      <c r="H643" s="247"/>
      <c r="I643" s="238"/>
      <c r="J643" s="247"/>
      <c r="K643" s="247"/>
      <c r="L643" s="247"/>
      <c r="M643" s="238"/>
      <c r="N643" s="238"/>
      <c r="O643" s="251"/>
      <c r="P643" s="247"/>
      <c r="Q643" s="247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>
      <c r="A644" s="247"/>
      <c r="B644" s="247"/>
      <c r="C644" s="247"/>
      <c r="D644" s="238"/>
      <c r="E644" s="254"/>
      <c r="F644" s="255"/>
      <c r="G644" s="238"/>
      <c r="H644" s="247"/>
      <c r="I644" s="238"/>
      <c r="J644" s="247"/>
      <c r="K644" s="247"/>
      <c r="L644" s="247"/>
      <c r="M644" s="238"/>
      <c r="N644" s="238"/>
      <c r="O644" s="251"/>
      <c r="P644" s="247"/>
      <c r="Q644" s="247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>
      <c r="A645" s="247"/>
      <c r="B645" s="247"/>
      <c r="C645" s="247"/>
      <c r="D645" s="238"/>
      <c r="E645" s="254"/>
      <c r="F645" s="255"/>
      <c r="G645" s="238"/>
      <c r="H645" s="247"/>
      <c r="I645" s="238"/>
      <c r="J645" s="247"/>
      <c r="K645" s="247"/>
      <c r="L645" s="247"/>
      <c r="M645" s="238"/>
      <c r="N645" s="238"/>
      <c r="O645" s="251"/>
      <c r="P645" s="247"/>
      <c r="Q645" s="247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>
      <c r="A646" s="247"/>
      <c r="B646" s="247"/>
      <c r="C646" s="247"/>
      <c r="D646" s="238"/>
      <c r="E646" s="254"/>
      <c r="F646" s="255"/>
      <c r="G646" s="238"/>
      <c r="H646" s="247"/>
      <c r="I646" s="238"/>
      <c r="J646" s="247"/>
      <c r="K646" s="247"/>
      <c r="L646" s="247"/>
      <c r="M646" s="238"/>
      <c r="N646" s="238"/>
      <c r="O646" s="251"/>
      <c r="P646" s="247"/>
      <c r="Q646" s="247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>
      <c r="A647" s="247"/>
      <c r="B647" s="247"/>
      <c r="C647" s="247"/>
      <c r="D647" s="238"/>
      <c r="E647" s="254"/>
      <c r="F647" s="255"/>
      <c r="G647" s="238"/>
      <c r="H647" s="247"/>
      <c r="I647" s="238"/>
      <c r="J647" s="247"/>
      <c r="K647" s="247"/>
      <c r="L647" s="247"/>
      <c r="M647" s="238"/>
      <c r="N647" s="238"/>
      <c r="O647" s="251"/>
      <c r="P647" s="247"/>
      <c r="Q647" s="247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>
      <c r="A648" s="247"/>
      <c r="B648" s="247"/>
      <c r="C648" s="247"/>
      <c r="D648" s="238"/>
      <c r="E648" s="254"/>
      <c r="F648" s="255"/>
      <c r="G648" s="238"/>
      <c r="H648" s="247"/>
      <c r="I648" s="238"/>
      <c r="J648" s="247"/>
      <c r="K648" s="247"/>
      <c r="L648" s="247"/>
      <c r="M648" s="238"/>
      <c r="N648" s="238"/>
      <c r="O648" s="251"/>
      <c r="P648" s="247"/>
      <c r="Q648" s="247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>
      <c r="A649" s="247"/>
      <c r="B649" s="247"/>
      <c r="C649" s="247"/>
      <c r="D649" s="238"/>
      <c r="E649" s="254"/>
      <c r="F649" s="255"/>
      <c r="G649" s="238"/>
      <c r="H649" s="247"/>
      <c r="I649" s="238"/>
      <c r="J649" s="247"/>
      <c r="K649" s="247"/>
      <c r="L649" s="247"/>
      <c r="M649" s="238"/>
      <c r="N649" s="238"/>
      <c r="O649" s="251"/>
      <c r="P649" s="247"/>
      <c r="Q649" s="247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>
      <c r="A650" s="247"/>
      <c r="B650" s="247"/>
      <c r="C650" s="247"/>
      <c r="D650" s="238"/>
      <c r="E650" s="254"/>
      <c r="F650" s="255"/>
      <c r="G650" s="238"/>
      <c r="H650" s="247"/>
      <c r="I650" s="238"/>
      <c r="J650" s="247"/>
      <c r="K650" s="247"/>
      <c r="L650" s="247"/>
      <c r="M650" s="238"/>
      <c r="N650" s="238"/>
      <c r="O650" s="251"/>
      <c r="P650" s="247"/>
      <c r="Q650" s="247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>
      <c r="A651" s="247"/>
      <c r="B651" s="247"/>
      <c r="C651" s="247"/>
      <c r="D651" s="238"/>
      <c r="E651" s="254"/>
      <c r="F651" s="255"/>
      <c r="G651" s="238"/>
      <c r="H651" s="247"/>
      <c r="I651" s="238"/>
      <c r="J651" s="247"/>
      <c r="K651" s="247"/>
      <c r="L651" s="247"/>
      <c r="M651" s="238"/>
      <c r="N651" s="238"/>
      <c r="O651" s="251"/>
      <c r="P651" s="247"/>
      <c r="Q651" s="247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>
      <c r="A652" s="247"/>
      <c r="B652" s="247"/>
      <c r="C652" s="247"/>
      <c r="D652" s="238"/>
      <c r="E652" s="254"/>
      <c r="F652" s="255"/>
      <c r="G652" s="238"/>
      <c r="H652" s="247"/>
      <c r="I652" s="238"/>
      <c r="J652" s="247"/>
      <c r="K652" s="247"/>
      <c r="L652" s="247"/>
      <c r="M652" s="238"/>
      <c r="N652" s="238"/>
      <c r="O652" s="251"/>
      <c r="P652" s="247"/>
      <c r="Q652" s="247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>
      <c r="A653" s="247"/>
      <c r="B653" s="247"/>
      <c r="C653" s="247"/>
      <c r="D653" s="238"/>
      <c r="E653" s="254"/>
      <c r="F653" s="255"/>
      <c r="G653" s="238"/>
      <c r="H653" s="247"/>
      <c r="I653" s="238"/>
      <c r="J653" s="247"/>
      <c r="K653" s="247"/>
      <c r="L653" s="247"/>
      <c r="M653" s="238"/>
      <c r="N653" s="238"/>
      <c r="O653" s="251"/>
      <c r="P653" s="247"/>
      <c r="Q653" s="247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>
      <c r="A654" s="247"/>
      <c r="B654" s="247"/>
      <c r="C654" s="247"/>
      <c r="D654" s="238"/>
      <c r="E654" s="254"/>
      <c r="F654" s="255"/>
      <c r="G654" s="238"/>
      <c r="H654" s="247"/>
      <c r="I654" s="238"/>
      <c r="J654" s="247"/>
      <c r="K654" s="247"/>
      <c r="L654" s="247"/>
      <c r="M654" s="238"/>
      <c r="N654" s="238"/>
      <c r="O654" s="251"/>
      <c r="P654" s="247"/>
      <c r="Q654" s="247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>
      <c r="A655" s="247"/>
      <c r="B655" s="247"/>
      <c r="C655" s="247"/>
      <c r="D655" s="238"/>
      <c r="E655" s="254"/>
      <c r="F655" s="255"/>
      <c r="G655" s="238"/>
      <c r="H655" s="247"/>
      <c r="I655" s="238"/>
      <c r="J655" s="247"/>
      <c r="K655" s="247"/>
      <c r="L655" s="247"/>
      <c r="M655" s="238"/>
      <c r="N655" s="238"/>
      <c r="O655" s="251"/>
      <c r="P655" s="247"/>
      <c r="Q655" s="247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>
      <c r="A656" s="247"/>
      <c r="B656" s="247"/>
      <c r="C656" s="247"/>
      <c r="D656" s="238"/>
      <c r="E656" s="254"/>
      <c r="F656" s="255"/>
      <c r="G656" s="238"/>
      <c r="H656" s="247"/>
      <c r="I656" s="238"/>
      <c r="J656" s="247"/>
      <c r="K656" s="247"/>
      <c r="L656" s="247"/>
      <c r="M656" s="238"/>
      <c r="N656" s="238"/>
      <c r="O656" s="251"/>
      <c r="P656" s="247"/>
      <c r="Q656" s="247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>
      <c r="A657" s="247"/>
      <c r="B657" s="247"/>
      <c r="C657" s="247"/>
      <c r="D657" s="238"/>
      <c r="E657" s="254"/>
      <c r="F657" s="255"/>
      <c r="G657" s="238"/>
      <c r="H657" s="247"/>
      <c r="I657" s="238"/>
      <c r="J657" s="247"/>
      <c r="K657" s="247"/>
      <c r="L657" s="247"/>
      <c r="M657" s="238"/>
      <c r="N657" s="238"/>
      <c r="O657" s="251"/>
      <c r="P657" s="247"/>
      <c r="Q657" s="247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>
      <c r="A658" s="247"/>
      <c r="B658" s="247"/>
      <c r="C658" s="247"/>
      <c r="D658" s="238"/>
      <c r="E658" s="254"/>
      <c r="F658" s="255"/>
      <c r="G658" s="238"/>
      <c r="H658" s="247"/>
      <c r="I658" s="238"/>
      <c r="J658" s="247"/>
      <c r="K658" s="247"/>
      <c r="L658" s="247"/>
      <c r="M658" s="238"/>
      <c r="N658" s="238"/>
      <c r="O658" s="251"/>
      <c r="P658" s="247"/>
      <c r="Q658" s="247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>
      <c r="A659" s="247"/>
      <c r="B659" s="247"/>
      <c r="C659" s="247"/>
      <c r="D659" s="238"/>
      <c r="E659" s="254"/>
      <c r="F659" s="255"/>
      <c r="G659" s="238"/>
      <c r="H659" s="247"/>
      <c r="I659" s="238"/>
      <c r="J659" s="247"/>
      <c r="K659" s="247"/>
      <c r="L659" s="247"/>
      <c r="M659" s="238"/>
      <c r="N659" s="238"/>
      <c r="O659" s="251"/>
      <c r="P659" s="247"/>
      <c r="Q659" s="247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>
      <c r="A660" s="247"/>
      <c r="B660" s="247"/>
      <c r="C660" s="247"/>
      <c r="D660" s="238"/>
      <c r="E660" s="254"/>
      <c r="F660" s="255"/>
      <c r="G660" s="238"/>
      <c r="H660" s="247"/>
      <c r="I660" s="238"/>
      <c r="J660" s="247"/>
      <c r="K660" s="247"/>
      <c r="L660" s="247"/>
      <c r="M660" s="238"/>
      <c r="N660" s="238"/>
      <c r="O660" s="251"/>
      <c r="P660" s="247"/>
      <c r="Q660" s="247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>
      <c r="A661" s="247"/>
      <c r="B661" s="247"/>
      <c r="C661" s="247"/>
      <c r="D661" s="238"/>
      <c r="E661" s="254"/>
      <c r="F661" s="255"/>
      <c r="G661" s="238"/>
      <c r="H661" s="247"/>
      <c r="I661" s="238"/>
      <c r="J661" s="247"/>
      <c r="K661" s="247"/>
      <c r="L661" s="247"/>
      <c r="M661" s="238"/>
      <c r="N661" s="238"/>
      <c r="O661" s="251"/>
      <c r="P661" s="247"/>
      <c r="Q661" s="247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>
      <c r="A662" s="247"/>
      <c r="B662" s="247"/>
      <c r="C662" s="247"/>
      <c r="D662" s="238"/>
      <c r="E662" s="254"/>
      <c r="F662" s="255"/>
      <c r="G662" s="238"/>
      <c r="H662" s="247"/>
      <c r="I662" s="238"/>
      <c r="J662" s="247"/>
      <c r="K662" s="247"/>
      <c r="L662" s="247"/>
      <c r="M662" s="238"/>
      <c r="N662" s="238"/>
      <c r="O662" s="251"/>
      <c r="P662" s="247"/>
      <c r="Q662" s="247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>
      <c r="A663" s="247"/>
      <c r="B663" s="247"/>
      <c r="C663" s="247"/>
      <c r="D663" s="238"/>
      <c r="E663" s="254"/>
      <c r="F663" s="255"/>
      <c r="G663" s="238"/>
      <c r="H663" s="247"/>
      <c r="I663" s="238"/>
      <c r="J663" s="247"/>
      <c r="K663" s="247"/>
      <c r="L663" s="247"/>
      <c r="M663" s="238"/>
      <c r="N663" s="238"/>
      <c r="O663" s="251"/>
      <c r="P663" s="247"/>
      <c r="Q663" s="247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>
      <c r="A664" s="247"/>
      <c r="B664" s="247"/>
      <c r="C664" s="247"/>
      <c r="D664" s="238"/>
      <c r="E664" s="254"/>
      <c r="F664" s="255"/>
      <c r="G664" s="238"/>
      <c r="H664" s="247"/>
      <c r="I664" s="238"/>
      <c r="J664" s="247"/>
      <c r="K664" s="247"/>
      <c r="L664" s="247"/>
      <c r="M664" s="238"/>
      <c r="N664" s="238"/>
      <c r="O664" s="251"/>
      <c r="P664" s="247"/>
      <c r="Q664" s="247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>
      <c r="A665" s="247"/>
      <c r="B665" s="247"/>
      <c r="C665" s="247"/>
      <c r="D665" s="238"/>
      <c r="E665" s="254"/>
      <c r="F665" s="255"/>
      <c r="G665" s="238"/>
      <c r="H665" s="247"/>
      <c r="I665" s="238"/>
      <c r="J665" s="247"/>
      <c r="K665" s="247"/>
      <c r="L665" s="247"/>
      <c r="M665" s="238"/>
      <c r="N665" s="238"/>
      <c r="O665" s="251"/>
      <c r="P665" s="247"/>
      <c r="Q665" s="247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>
      <c r="A666" s="247"/>
      <c r="B666" s="247"/>
      <c r="C666" s="247"/>
      <c r="D666" s="238"/>
      <c r="E666" s="254"/>
      <c r="F666" s="255"/>
      <c r="G666" s="238"/>
      <c r="H666" s="247"/>
      <c r="I666" s="238"/>
      <c r="J666" s="247"/>
      <c r="K666" s="247"/>
      <c r="L666" s="247"/>
      <c r="M666" s="238"/>
      <c r="N666" s="238"/>
      <c r="O666" s="251"/>
      <c r="P666" s="247"/>
      <c r="Q666" s="247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>
      <c r="A667" s="247"/>
      <c r="B667" s="247"/>
      <c r="C667" s="247"/>
      <c r="D667" s="238"/>
      <c r="E667" s="254"/>
      <c r="F667" s="255"/>
      <c r="G667" s="238"/>
      <c r="H667" s="247"/>
      <c r="I667" s="238"/>
      <c r="J667" s="247"/>
      <c r="K667" s="247"/>
      <c r="L667" s="247"/>
      <c r="M667" s="238"/>
      <c r="N667" s="238"/>
      <c r="O667" s="251"/>
      <c r="P667" s="247"/>
      <c r="Q667" s="247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>
      <c r="A668" s="247"/>
      <c r="B668" s="247"/>
      <c r="C668" s="247"/>
      <c r="D668" s="238"/>
      <c r="E668" s="254"/>
      <c r="F668" s="255"/>
      <c r="G668" s="238"/>
      <c r="H668" s="247"/>
      <c r="I668" s="238"/>
      <c r="J668" s="247"/>
      <c r="K668" s="247"/>
      <c r="L668" s="247"/>
      <c r="M668" s="238"/>
      <c r="N668" s="238"/>
      <c r="O668" s="251"/>
      <c r="P668" s="247"/>
      <c r="Q668" s="247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>
      <c r="A669" s="247"/>
      <c r="B669" s="247"/>
      <c r="C669" s="247"/>
      <c r="D669" s="238"/>
      <c r="E669" s="254"/>
      <c r="F669" s="255"/>
      <c r="G669" s="238"/>
      <c r="H669" s="247"/>
      <c r="I669" s="238"/>
      <c r="J669" s="247"/>
      <c r="K669" s="247"/>
      <c r="L669" s="247"/>
      <c r="M669" s="238"/>
      <c r="N669" s="238"/>
      <c r="O669" s="251"/>
      <c r="P669" s="247"/>
      <c r="Q669" s="247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>
      <c r="A670" s="247"/>
      <c r="B670" s="247"/>
      <c r="C670" s="247"/>
      <c r="D670" s="238"/>
      <c r="E670" s="254"/>
      <c r="F670" s="255"/>
      <c r="G670" s="238"/>
      <c r="H670" s="247"/>
      <c r="I670" s="238"/>
      <c r="J670" s="247"/>
      <c r="K670" s="247"/>
      <c r="L670" s="247"/>
      <c r="M670" s="238"/>
      <c r="N670" s="238"/>
      <c r="O670" s="251"/>
      <c r="P670" s="247"/>
      <c r="Q670" s="247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>
      <c r="A671" s="247"/>
      <c r="B671" s="247"/>
      <c r="C671" s="247"/>
      <c r="D671" s="238"/>
      <c r="E671" s="254"/>
      <c r="F671" s="255"/>
      <c r="G671" s="238"/>
      <c r="H671" s="247"/>
      <c r="I671" s="238"/>
      <c r="J671" s="247"/>
      <c r="K671" s="247"/>
      <c r="L671" s="247"/>
      <c r="M671" s="238"/>
      <c r="N671" s="238"/>
      <c r="O671" s="251"/>
      <c r="P671" s="247"/>
      <c r="Q671" s="247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>
      <c r="A672" s="247"/>
      <c r="B672" s="247"/>
      <c r="C672" s="247"/>
      <c r="D672" s="238"/>
      <c r="E672" s="254"/>
      <c r="F672" s="255"/>
      <c r="G672" s="238"/>
      <c r="H672" s="247"/>
      <c r="I672" s="238"/>
      <c r="J672" s="247"/>
      <c r="K672" s="247"/>
      <c r="L672" s="247"/>
      <c r="M672" s="238"/>
      <c r="N672" s="238"/>
      <c r="O672" s="251"/>
      <c r="P672" s="247"/>
      <c r="Q672" s="247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>
      <c r="A673" s="247"/>
      <c r="B673" s="247"/>
      <c r="C673" s="247"/>
      <c r="D673" s="238"/>
      <c r="E673" s="254"/>
      <c r="F673" s="255"/>
      <c r="G673" s="238"/>
      <c r="H673" s="247"/>
      <c r="I673" s="238"/>
      <c r="J673" s="247"/>
      <c r="K673" s="247"/>
      <c r="L673" s="247"/>
      <c r="M673" s="238"/>
      <c r="N673" s="238"/>
      <c r="O673" s="251"/>
      <c r="P673" s="247"/>
      <c r="Q673" s="247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>
      <c r="A674" s="247"/>
      <c r="B674" s="247"/>
      <c r="C674" s="247"/>
      <c r="D674" s="238"/>
      <c r="E674" s="254"/>
      <c r="F674" s="255"/>
      <c r="G674" s="238"/>
      <c r="H674" s="247"/>
      <c r="I674" s="238"/>
      <c r="J674" s="247"/>
      <c r="K674" s="247"/>
      <c r="L674" s="247"/>
      <c r="M674" s="238"/>
      <c r="N674" s="238"/>
      <c r="O674" s="251"/>
      <c r="P674" s="247"/>
      <c r="Q674" s="247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>
      <c r="A675" s="247"/>
      <c r="B675" s="247"/>
      <c r="C675" s="247"/>
      <c r="D675" s="238"/>
      <c r="E675" s="254"/>
      <c r="F675" s="255"/>
      <c r="G675" s="238"/>
      <c r="H675" s="247"/>
      <c r="I675" s="238"/>
      <c r="J675" s="247"/>
      <c r="K675" s="247"/>
      <c r="L675" s="247"/>
      <c r="M675" s="238"/>
      <c r="N675" s="238"/>
      <c r="O675" s="251"/>
      <c r="P675" s="247"/>
      <c r="Q675" s="247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>
      <c r="A676" s="247"/>
      <c r="B676" s="247"/>
      <c r="C676" s="247"/>
      <c r="D676" s="238"/>
      <c r="E676" s="254"/>
      <c r="F676" s="255"/>
      <c r="G676" s="238"/>
      <c r="H676" s="247"/>
      <c r="I676" s="238"/>
      <c r="J676" s="247"/>
      <c r="K676" s="247"/>
      <c r="L676" s="247"/>
      <c r="M676" s="238"/>
      <c r="N676" s="238"/>
      <c r="O676" s="251"/>
      <c r="P676" s="247"/>
      <c r="Q676" s="247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>
      <c r="A677" s="247"/>
      <c r="B677" s="247"/>
      <c r="C677" s="247"/>
      <c r="D677" s="238"/>
      <c r="E677" s="254"/>
      <c r="F677" s="255"/>
      <c r="G677" s="238"/>
      <c r="H677" s="247"/>
      <c r="I677" s="238"/>
      <c r="J677" s="247"/>
      <c r="K677" s="247"/>
      <c r="L677" s="247"/>
      <c r="M677" s="238"/>
      <c r="N677" s="238"/>
      <c r="O677" s="251"/>
      <c r="P677" s="247"/>
      <c r="Q677" s="247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>
      <c r="A678" s="247"/>
      <c r="B678" s="247"/>
      <c r="C678" s="247"/>
      <c r="D678" s="238"/>
      <c r="E678" s="254"/>
      <c r="F678" s="255"/>
      <c r="G678" s="238"/>
      <c r="H678" s="247"/>
      <c r="I678" s="238"/>
      <c r="J678" s="247"/>
      <c r="K678" s="247"/>
      <c r="L678" s="247"/>
      <c r="M678" s="238"/>
      <c r="N678" s="238"/>
      <c r="O678" s="251"/>
      <c r="P678" s="247"/>
      <c r="Q678" s="247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>
      <c r="A679" s="247"/>
      <c r="B679" s="247"/>
      <c r="C679" s="247"/>
      <c r="D679" s="238"/>
      <c r="E679" s="254"/>
      <c r="F679" s="255"/>
      <c r="G679" s="238"/>
      <c r="H679" s="247"/>
      <c r="I679" s="238"/>
      <c r="J679" s="247"/>
      <c r="K679" s="247"/>
      <c r="L679" s="247"/>
      <c r="M679" s="238"/>
      <c r="N679" s="238"/>
      <c r="O679" s="251"/>
      <c r="P679" s="247"/>
      <c r="Q679" s="247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>
      <c r="A680" s="247"/>
      <c r="B680" s="247"/>
      <c r="C680" s="247"/>
      <c r="D680" s="238"/>
      <c r="E680" s="254"/>
      <c r="F680" s="255"/>
      <c r="G680" s="238"/>
      <c r="H680" s="247"/>
      <c r="I680" s="238"/>
      <c r="J680" s="247"/>
      <c r="K680" s="247"/>
      <c r="L680" s="247"/>
      <c r="M680" s="238"/>
      <c r="N680" s="238"/>
      <c r="O680" s="251"/>
      <c r="P680" s="247"/>
      <c r="Q680" s="247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>
      <c r="A681" s="247"/>
      <c r="B681" s="247"/>
      <c r="C681" s="247"/>
      <c r="D681" s="238"/>
      <c r="E681" s="254"/>
      <c r="F681" s="255"/>
      <c r="G681" s="238"/>
      <c r="H681" s="247"/>
      <c r="I681" s="238"/>
      <c r="J681" s="247"/>
      <c r="K681" s="247"/>
      <c r="L681" s="247"/>
      <c r="M681" s="238"/>
      <c r="N681" s="238"/>
      <c r="O681" s="251"/>
      <c r="P681" s="247"/>
      <c r="Q681" s="247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>
      <c r="A682" s="247"/>
      <c r="B682" s="247"/>
      <c r="C682" s="247"/>
      <c r="D682" s="238"/>
      <c r="E682" s="254"/>
      <c r="F682" s="255"/>
      <c r="G682" s="238"/>
      <c r="H682" s="247"/>
      <c r="I682" s="238"/>
      <c r="J682" s="247"/>
      <c r="K682" s="247"/>
      <c r="L682" s="247"/>
      <c r="M682" s="238"/>
      <c r="N682" s="238"/>
      <c r="O682" s="251"/>
      <c r="P682" s="247"/>
      <c r="Q682" s="247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>
      <c r="A683" s="247"/>
      <c r="B683" s="247"/>
      <c r="C683" s="247"/>
      <c r="D683" s="238"/>
      <c r="E683" s="254"/>
      <c r="F683" s="255"/>
      <c r="G683" s="238"/>
      <c r="H683" s="247"/>
      <c r="I683" s="238"/>
      <c r="J683" s="247"/>
      <c r="K683" s="247"/>
      <c r="L683" s="247"/>
      <c r="M683" s="238"/>
      <c r="N683" s="238"/>
      <c r="O683" s="251"/>
      <c r="P683" s="247"/>
      <c r="Q683" s="247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>
      <c r="A684" s="247"/>
      <c r="B684" s="247"/>
      <c r="C684" s="247"/>
      <c r="D684" s="238"/>
      <c r="E684" s="254"/>
      <c r="F684" s="255"/>
      <c r="G684" s="238"/>
      <c r="H684" s="247"/>
      <c r="I684" s="238"/>
      <c r="J684" s="247"/>
      <c r="K684" s="247"/>
      <c r="L684" s="247"/>
      <c r="M684" s="238"/>
      <c r="N684" s="238"/>
      <c r="O684" s="251"/>
      <c r="P684" s="247"/>
      <c r="Q684" s="247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>
      <c r="A685" s="247"/>
      <c r="B685" s="247"/>
      <c r="C685" s="247"/>
      <c r="D685" s="238"/>
      <c r="E685" s="254"/>
      <c r="F685" s="255"/>
      <c r="G685" s="238"/>
      <c r="H685" s="247"/>
      <c r="I685" s="238"/>
      <c r="J685" s="247"/>
      <c r="K685" s="247"/>
      <c r="L685" s="247"/>
      <c r="M685" s="238"/>
      <c r="N685" s="238"/>
      <c r="O685" s="251"/>
      <c r="P685" s="247"/>
      <c r="Q685" s="247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>
      <c r="A686" s="247"/>
      <c r="B686" s="247"/>
      <c r="C686" s="247"/>
      <c r="D686" s="238"/>
      <c r="E686" s="254"/>
      <c r="F686" s="255"/>
      <c r="G686" s="238"/>
      <c r="H686" s="247"/>
      <c r="I686" s="238"/>
      <c r="J686" s="247"/>
      <c r="K686" s="247"/>
      <c r="L686" s="247"/>
      <c r="M686" s="238"/>
      <c r="N686" s="238"/>
      <c r="O686" s="251"/>
      <c r="P686" s="247"/>
      <c r="Q686" s="247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>
      <c r="A687" s="247"/>
      <c r="B687" s="247"/>
      <c r="C687" s="247"/>
      <c r="D687" s="238"/>
      <c r="E687" s="254"/>
      <c r="F687" s="255"/>
      <c r="G687" s="238"/>
      <c r="H687" s="247"/>
      <c r="I687" s="238"/>
      <c r="J687" s="247"/>
      <c r="K687" s="247"/>
      <c r="L687" s="247"/>
      <c r="M687" s="238"/>
      <c r="N687" s="238"/>
      <c r="O687" s="251"/>
      <c r="P687" s="247"/>
      <c r="Q687" s="247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>
      <c r="A688" s="247"/>
      <c r="B688" s="247"/>
      <c r="C688" s="247"/>
      <c r="D688" s="238"/>
      <c r="E688" s="254"/>
      <c r="F688" s="255"/>
      <c r="G688" s="238"/>
      <c r="H688" s="247"/>
      <c r="I688" s="238"/>
      <c r="J688" s="247"/>
      <c r="K688" s="247"/>
      <c r="L688" s="247"/>
      <c r="M688" s="238"/>
      <c r="N688" s="238"/>
      <c r="O688" s="251"/>
      <c r="P688" s="247"/>
      <c r="Q688" s="247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>
      <c r="A689" s="247"/>
      <c r="B689" s="247"/>
      <c r="C689" s="247"/>
      <c r="D689" s="238"/>
      <c r="E689" s="254"/>
      <c r="F689" s="255"/>
      <c r="G689" s="238"/>
      <c r="H689" s="247"/>
      <c r="I689" s="238"/>
      <c r="J689" s="247"/>
      <c r="K689" s="247"/>
      <c r="L689" s="247"/>
      <c r="M689" s="238"/>
      <c r="N689" s="238"/>
      <c r="O689" s="251"/>
      <c r="P689" s="247"/>
      <c r="Q689" s="247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>
      <c r="A690" s="247"/>
      <c r="B690" s="247"/>
      <c r="C690" s="247"/>
      <c r="D690" s="238"/>
      <c r="E690" s="254"/>
      <c r="F690" s="255"/>
      <c r="G690" s="238"/>
      <c r="H690" s="247"/>
      <c r="I690" s="238"/>
      <c r="J690" s="247"/>
      <c r="K690" s="247"/>
      <c r="L690" s="247"/>
      <c r="M690" s="238"/>
      <c r="N690" s="238"/>
      <c r="O690" s="251"/>
      <c r="P690" s="247"/>
      <c r="Q690" s="247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>
      <c r="A691" s="247"/>
      <c r="B691" s="247"/>
      <c r="C691" s="247"/>
      <c r="D691" s="238"/>
      <c r="E691" s="254"/>
      <c r="F691" s="255"/>
      <c r="G691" s="238"/>
      <c r="H691" s="247"/>
      <c r="I691" s="238"/>
      <c r="J691" s="247"/>
      <c r="K691" s="247"/>
      <c r="L691" s="247"/>
      <c r="M691" s="238"/>
      <c r="N691" s="238"/>
      <c r="O691" s="251"/>
      <c r="P691" s="247"/>
      <c r="Q691" s="247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>
      <c r="A692" s="247"/>
      <c r="B692" s="247"/>
      <c r="C692" s="247"/>
      <c r="D692" s="238"/>
      <c r="E692" s="254"/>
      <c r="F692" s="255"/>
      <c r="G692" s="238"/>
      <c r="H692" s="247"/>
      <c r="I692" s="238"/>
      <c r="J692" s="247"/>
      <c r="K692" s="247"/>
      <c r="L692" s="247"/>
      <c r="M692" s="238"/>
      <c r="N692" s="238"/>
      <c r="O692" s="251"/>
      <c r="P692" s="247"/>
      <c r="Q692" s="247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>
      <c r="A693" s="247"/>
      <c r="B693" s="247"/>
      <c r="C693" s="247"/>
      <c r="D693" s="238"/>
      <c r="E693" s="254"/>
      <c r="F693" s="255"/>
      <c r="G693" s="238"/>
      <c r="H693" s="247"/>
      <c r="I693" s="238"/>
      <c r="J693" s="247"/>
      <c r="K693" s="247"/>
      <c r="L693" s="247"/>
      <c r="M693" s="238"/>
      <c r="N693" s="238"/>
      <c r="O693" s="251"/>
      <c r="P693" s="247"/>
      <c r="Q693" s="247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>
      <c r="A694" s="247"/>
      <c r="B694" s="247"/>
      <c r="C694" s="247"/>
      <c r="D694" s="238"/>
      <c r="E694" s="254"/>
      <c r="F694" s="255"/>
      <c r="G694" s="238"/>
      <c r="H694" s="247"/>
      <c r="I694" s="238"/>
      <c r="J694" s="247"/>
      <c r="K694" s="247"/>
      <c r="L694" s="247"/>
      <c r="M694" s="238"/>
      <c r="N694" s="238"/>
      <c r="O694" s="251"/>
      <c r="P694" s="247"/>
      <c r="Q694" s="247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>
      <c r="A695" s="247"/>
      <c r="B695" s="247"/>
      <c r="C695" s="247"/>
      <c r="D695" s="238"/>
      <c r="E695" s="254"/>
      <c r="F695" s="255"/>
      <c r="G695" s="238"/>
      <c r="H695" s="247"/>
      <c r="I695" s="238"/>
      <c r="J695" s="247"/>
      <c r="K695" s="247"/>
      <c r="L695" s="247"/>
      <c r="M695" s="238"/>
      <c r="N695" s="238"/>
      <c r="O695" s="251"/>
      <c r="P695" s="247"/>
      <c r="Q695" s="247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>
      <c r="A696" s="247"/>
      <c r="B696" s="247"/>
      <c r="C696" s="247"/>
      <c r="D696" s="238"/>
      <c r="E696" s="254"/>
      <c r="F696" s="255"/>
      <c r="G696" s="238"/>
      <c r="H696" s="247"/>
      <c r="I696" s="238"/>
      <c r="J696" s="247"/>
      <c r="K696" s="247"/>
      <c r="L696" s="247"/>
      <c r="M696" s="238"/>
      <c r="N696" s="238"/>
      <c r="O696" s="251"/>
      <c r="P696" s="247"/>
      <c r="Q696" s="247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>
      <c r="A697" s="247"/>
      <c r="B697" s="247"/>
      <c r="C697" s="247"/>
      <c r="D697" s="238"/>
      <c r="E697" s="254"/>
      <c r="F697" s="255"/>
      <c r="G697" s="238"/>
      <c r="H697" s="247"/>
      <c r="I697" s="238"/>
      <c r="J697" s="247"/>
      <c r="K697" s="247"/>
      <c r="L697" s="247"/>
      <c r="M697" s="238"/>
      <c r="N697" s="238"/>
      <c r="O697" s="251"/>
      <c r="P697" s="247"/>
      <c r="Q697" s="247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>
      <c r="A698" s="247"/>
      <c r="B698" s="247"/>
      <c r="C698" s="247"/>
      <c r="D698" s="238"/>
      <c r="E698" s="254"/>
      <c r="F698" s="255"/>
      <c r="G698" s="238"/>
      <c r="H698" s="247"/>
      <c r="I698" s="238"/>
      <c r="J698" s="247"/>
      <c r="K698" s="247"/>
      <c r="L698" s="247"/>
      <c r="M698" s="238"/>
      <c r="N698" s="238"/>
      <c r="O698" s="251"/>
      <c r="P698" s="247"/>
      <c r="Q698" s="247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>
      <c r="A699" s="247"/>
      <c r="B699" s="247"/>
      <c r="C699" s="247"/>
      <c r="D699" s="238"/>
      <c r="E699" s="254"/>
      <c r="F699" s="255"/>
      <c r="G699" s="238"/>
      <c r="H699" s="247"/>
      <c r="I699" s="238"/>
      <c r="J699" s="247"/>
      <c r="K699" s="247"/>
      <c r="L699" s="247"/>
      <c r="M699" s="238"/>
      <c r="N699" s="238"/>
      <c r="O699" s="251"/>
      <c r="P699" s="247"/>
      <c r="Q699" s="247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>
      <c r="A700" s="247"/>
      <c r="B700" s="247"/>
      <c r="C700" s="247"/>
      <c r="D700" s="238"/>
      <c r="E700" s="254"/>
      <c r="F700" s="255"/>
      <c r="G700" s="238"/>
      <c r="H700" s="247"/>
      <c r="I700" s="238"/>
      <c r="J700" s="247"/>
      <c r="K700" s="247"/>
      <c r="L700" s="247"/>
      <c r="M700" s="238"/>
      <c r="N700" s="238"/>
      <c r="O700" s="251"/>
      <c r="P700" s="247"/>
      <c r="Q700" s="247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>
      <c r="A701" s="247"/>
      <c r="B701" s="247"/>
      <c r="C701" s="247"/>
      <c r="D701" s="238"/>
      <c r="E701" s="254"/>
      <c r="F701" s="255"/>
      <c r="G701" s="238"/>
      <c r="H701" s="247"/>
      <c r="I701" s="238"/>
      <c r="J701" s="247"/>
      <c r="K701" s="247"/>
      <c r="L701" s="247"/>
      <c r="M701" s="238"/>
      <c r="N701" s="238"/>
      <c r="O701" s="251"/>
      <c r="P701" s="247"/>
      <c r="Q701" s="247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>
      <c r="A702" s="247"/>
      <c r="B702" s="247"/>
      <c r="C702" s="247"/>
      <c r="D702" s="238"/>
      <c r="E702" s="254"/>
      <c r="F702" s="255"/>
      <c r="G702" s="238"/>
      <c r="H702" s="247"/>
      <c r="I702" s="238"/>
      <c r="J702" s="247"/>
      <c r="K702" s="247"/>
      <c r="L702" s="247"/>
      <c r="M702" s="238"/>
      <c r="N702" s="238"/>
      <c r="O702" s="251"/>
      <c r="P702" s="247"/>
      <c r="Q702" s="247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>
      <c r="A703" s="247"/>
      <c r="B703" s="247"/>
      <c r="C703" s="247"/>
      <c r="D703" s="238"/>
      <c r="E703" s="254"/>
      <c r="F703" s="255"/>
      <c r="G703" s="238"/>
      <c r="H703" s="247"/>
      <c r="I703" s="238"/>
      <c r="J703" s="247"/>
      <c r="K703" s="247"/>
      <c r="L703" s="247"/>
      <c r="M703" s="238"/>
      <c r="N703" s="238"/>
      <c r="O703" s="251"/>
      <c r="P703" s="247"/>
      <c r="Q703" s="247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>
      <c r="A704" s="247"/>
      <c r="B704" s="247"/>
      <c r="C704" s="247"/>
      <c r="D704" s="238"/>
      <c r="E704" s="254"/>
      <c r="F704" s="255"/>
      <c r="G704" s="238"/>
      <c r="H704" s="247"/>
      <c r="I704" s="238"/>
      <c r="J704" s="247"/>
      <c r="K704" s="247"/>
      <c r="L704" s="247"/>
      <c r="M704" s="238"/>
      <c r="N704" s="238"/>
      <c r="O704" s="251"/>
      <c r="P704" s="247"/>
      <c r="Q704" s="247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>
      <c r="A705" s="247"/>
      <c r="B705" s="247"/>
      <c r="C705" s="247"/>
      <c r="D705" s="238"/>
      <c r="E705" s="254"/>
      <c r="F705" s="255"/>
      <c r="G705" s="238"/>
      <c r="H705" s="247"/>
      <c r="I705" s="238"/>
      <c r="J705" s="247"/>
      <c r="K705" s="247"/>
      <c r="L705" s="247"/>
      <c r="M705" s="238"/>
      <c r="N705" s="238"/>
      <c r="O705" s="251"/>
      <c r="P705" s="247"/>
      <c r="Q705" s="247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>
      <c r="A706" s="247"/>
      <c r="B706" s="247"/>
      <c r="C706" s="247"/>
      <c r="D706" s="238"/>
      <c r="E706" s="254"/>
      <c r="F706" s="255"/>
      <c r="G706" s="238"/>
      <c r="H706" s="247"/>
      <c r="I706" s="238"/>
      <c r="J706" s="247"/>
      <c r="K706" s="247"/>
      <c r="L706" s="247"/>
      <c r="M706" s="238"/>
      <c r="N706" s="238"/>
      <c r="O706" s="251"/>
      <c r="P706" s="247"/>
      <c r="Q706" s="247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>
      <c r="A707" s="247"/>
      <c r="B707" s="247"/>
      <c r="C707" s="247"/>
      <c r="D707" s="238"/>
      <c r="E707" s="254"/>
      <c r="F707" s="255"/>
      <c r="G707" s="238"/>
      <c r="H707" s="247"/>
      <c r="I707" s="238"/>
      <c r="J707" s="247"/>
      <c r="K707" s="247"/>
      <c r="L707" s="247"/>
      <c r="M707" s="238"/>
      <c r="N707" s="238"/>
      <c r="O707" s="251"/>
      <c r="P707" s="247"/>
      <c r="Q707" s="247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>
      <c r="A708" s="247"/>
      <c r="B708" s="247"/>
      <c r="C708" s="247"/>
      <c r="D708" s="238"/>
      <c r="E708" s="254"/>
      <c r="F708" s="255"/>
      <c r="G708" s="238"/>
      <c r="H708" s="247"/>
      <c r="I708" s="238"/>
      <c r="J708" s="247"/>
      <c r="K708" s="247"/>
      <c r="L708" s="247"/>
      <c r="M708" s="238"/>
      <c r="N708" s="238"/>
      <c r="O708" s="251"/>
      <c r="P708" s="247"/>
      <c r="Q708" s="247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>
      <c r="A709" s="247"/>
      <c r="B709" s="247"/>
      <c r="C709" s="247"/>
      <c r="D709" s="238"/>
      <c r="E709" s="254"/>
      <c r="F709" s="255"/>
      <c r="G709" s="238"/>
      <c r="H709" s="247"/>
      <c r="I709" s="238"/>
      <c r="J709" s="247"/>
      <c r="K709" s="247"/>
      <c r="L709" s="247"/>
      <c r="M709" s="238"/>
      <c r="N709" s="238"/>
      <c r="O709" s="251"/>
      <c r="P709" s="247"/>
      <c r="Q709" s="247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>
      <c r="A710" s="247"/>
      <c r="B710" s="247"/>
      <c r="C710" s="247"/>
      <c r="D710" s="238"/>
      <c r="E710" s="254"/>
      <c r="F710" s="255"/>
      <c r="G710" s="238"/>
      <c r="H710" s="247"/>
      <c r="I710" s="238"/>
      <c r="J710" s="247"/>
      <c r="K710" s="247"/>
      <c r="L710" s="247"/>
      <c r="M710" s="238"/>
      <c r="N710" s="238"/>
      <c r="O710" s="251"/>
      <c r="P710" s="247"/>
      <c r="Q710" s="247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>
      <c r="A711" s="247"/>
      <c r="B711" s="247"/>
      <c r="C711" s="247"/>
      <c r="D711" s="238"/>
      <c r="E711" s="254"/>
      <c r="F711" s="255"/>
      <c r="G711" s="238"/>
      <c r="H711" s="247"/>
      <c r="I711" s="238"/>
      <c r="J711" s="247"/>
      <c r="K711" s="247"/>
      <c r="L711" s="247"/>
      <c r="M711" s="238"/>
      <c r="N711" s="238"/>
      <c r="O711" s="251"/>
      <c r="P711" s="247"/>
      <c r="Q711" s="247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>
      <c r="A712" s="247"/>
      <c r="B712" s="247"/>
      <c r="C712" s="247"/>
      <c r="D712" s="238"/>
      <c r="E712" s="254"/>
      <c r="F712" s="255"/>
      <c r="G712" s="238"/>
      <c r="H712" s="247"/>
      <c r="I712" s="238"/>
      <c r="J712" s="247"/>
      <c r="K712" s="247"/>
      <c r="L712" s="247"/>
      <c r="M712" s="238"/>
      <c r="N712" s="238"/>
      <c r="O712" s="251"/>
      <c r="P712" s="247"/>
      <c r="Q712" s="247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>
      <c r="A713" s="247"/>
      <c r="B713" s="247"/>
      <c r="C713" s="247"/>
      <c r="D713" s="238"/>
      <c r="E713" s="254"/>
      <c r="F713" s="255"/>
      <c r="G713" s="238"/>
      <c r="H713" s="247"/>
      <c r="I713" s="238"/>
      <c r="J713" s="247"/>
      <c r="K713" s="247"/>
      <c r="L713" s="247"/>
      <c r="M713" s="238"/>
      <c r="N713" s="238"/>
      <c r="O713" s="251"/>
      <c r="P713" s="247"/>
      <c r="Q713" s="247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>
      <c r="A714" s="247"/>
      <c r="B714" s="247"/>
      <c r="C714" s="247"/>
      <c r="D714" s="238"/>
      <c r="E714" s="254"/>
      <c r="F714" s="255"/>
      <c r="G714" s="238"/>
      <c r="H714" s="247"/>
      <c r="I714" s="238"/>
      <c r="J714" s="247"/>
      <c r="K714" s="247"/>
      <c r="L714" s="247"/>
      <c r="M714" s="238"/>
      <c r="N714" s="238"/>
      <c r="O714" s="251"/>
      <c r="P714" s="247"/>
      <c r="Q714" s="247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>
      <c r="A715" s="247"/>
      <c r="B715" s="247"/>
      <c r="C715" s="247"/>
      <c r="D715" s="238"/>
      <c r="E715" s="254"/>
      <c r="F715" s="255"/>
      <c r="G715" s="238"/>
      <c r="H715" s="247"/>
      <c r="I715" s="238"/>
      <c r="J715" s="247"/>
      <c r="K715" s="247"/>
      <c r="L715" s="247"/>
      <c r="M715" s="238"/>
      <c r="N715" s="238"/>
      <c r="O715" s="251"/>
      <c r="P715" s="247"/>
      <c r="Q715" s="247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>
      <c r="A716" s="247"/>
      <c r="B716" s="247"/>
      <c r="C716" s="247"/>
      <c r="D716" s="238"/>
      <c r="E716" s="254"/>
      <c r="F716" s="255"/>
      <c r="G716" s="238"/>
      <c r="H716" s="247"/>
      <c r="I716" s="238"/>
      <c r="J716" s="247"/>
      <c r="K716" s="247"/>
      <c r="L716" s="247"/>
      <c r="M716" s="238"/>
      <c r="N716" s="238"/>
      <c r="O716" s="251"/>
      <c r="P716" s="247"/>
      <c r="Q716" s="247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>
      <c r="A717" s="247"/>
      <c r="B717" s="247"/>
      <c r="C717" s="247"/>
      <c r="D717" s="238"/>
      <c r="E717" s="254"/>
      <c r="F717" s="255"/>
      <c r="G717" s="238"/>
      <c r="H717" s="247"/>
      <c r="I717" s="238"/>
      <c r="J717" s="247"/>
      <c r="K717" s="247"/>
      <c r="L717" s="247"/>
      <c r="M717" s="238"/>
      <c r="N717" s="238"/>
      <c r="O717" s="251"/>
      <c r="P717" s="247"/>
      <c r="Q717" s="247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>
      <c r="A718" s="247"/>
      <c r="B718" s="247"/>
      <c r="C718" s="247"/>
      <c r="D718" s="238"/>
      <c r="E718" s="254"/>
      <c r="F718" s="255"/>
      <c r="G718" s="238"/>
      <c r="H718" s="247"/>
      <c r="I718" s="238"/>
      <c r="J718" s="247"/>
      <c r="K718" s="247"/>
      <c r="L718" s="247"/>
      <c r="M718" s="238"/>
      <c r="N718" s="238"/>
      <c r="O718" s="251"/>
      <c r="P718" s="247"/>
      <c r="Q718" s="247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>
      <c r="A719" s="247"/>
      <c r="B719" s="247"/>
      <c r="C719" s="247"/>
      <c r="D719" s="238"/>
      <c r="E719" s="254"/>
      <c r="F719" s="255"/>
      <c r="G719" s="238"/>
      <c r="H719" s="247"/>
      <c r="I719" s="238"/>
      <c r="J719" s="247"/>
      <c r="K719" s="247"/>
      <c r="L719" s="247"/>
      <c r="M719" s="238"/>
      <c r="N719" s="238"/>
      <c r="O719" s="251"/>
      <c r="P719" s="247"/>
      <c r="Q719" s="247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>
      <c r="A720" s="247"/>
      <c r="B720" s="247"/>
      <c r="C720" s="247"/>
      <c r="D720" s="238"/>
      <c r="E720" s="254"/>
      <c r="F720" s="255"/>
      <c r="G720" s="238"/>
      <c r="H720" s="247"/>
      <c r="I720" s="238"/>
      <c r="J720" s="247"/>
      <c r="K720" s="247"/>
      <c r="L720" s="247"/>
      <c r="M720" s="238"/>
      <c r="N720" s="238"/>
      <c r="O720" s="251"/>
      <c r="P720" s="247"/>
      <c r="Q720" s="247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>
      <c r="A721" s="247"/>
      <c r="B721" s="247"/>
      <c r="C721" s="247"/>
      <c r="D721" s="238"/>
      <c r="E721" s="254"/>
      <c r="F721" s="255"/>
      <c r="G721" s="238"/>
      <c r="H721" s="247"/>
      <c r="I721" s="238"/>
      <c r="J721" s="247"/>
      <c r="K721" s="247"/>
      <c r="L721" s="247"/>
      <c r="M721" s="238"/>
      <c r="N721" s="238"/>
      <c r="O721" s="251"/>
      <c r="P721" s="247"/>
      <c r="Q721" s="247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>
      <c r="A722" s="247"/>
      <c r="B722" s="247"/>
      <c r="C722" s="247"/>
      <c r="D722" s="238"/>
      <c r="E722" s="254"/>
      <c r="F722" s="255"/>
      <c r="G722" s="238"/>
      <c r="H722" s="247"/>
      <c r="I722" s="238"/>
      <c r="J722" s="247"/>
      <c r="K722" s="247"/>
      <c r="L722" s="247"/>
      <c r="M722" s="238"/>
      <c r="N722" s="238"/>
      <c r="O722" s="251"/>
      <c r="P722" s="247"/>
      <c r="Q722" s="247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>
      <c r="A723" s="247"/>
      <c r="B723" s="247"/>
      <c r="C723" s="247"/>
      <c r="D723" s="238"/>
      <c r="E723" s="254"/>
      <c r="F723" s="255"/>
      <c r="G723" s="238"/>
      <c r="H723" s="247"/>
      <c r="I723" s="238"/>
      <c r="J723" s="247"/>
      <c r="K723" s="247"/>
      <c r="L723" s="247"/>
      <c r="M723" s="238"/>
      <c r="N723" s="238"/>
      <c r="O723" s="251"/>
      <c r="P723" s="247"/>
      <c r="Q723" s="247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>
      <c r="A724" s="247"/>
      <c r="B724" s="247"/>
      <c r="C724" s="247"/>
      <c r="D724" s="238"/>
      <c r="E724" s="254"/>
      <c r="F724" s="255"/>
      <c r="G724" s="238"/>
      <c r="H724" s="247"/>
      <c r="I724" s="238"/>
      <c r="J724" s="247"/>
      <c r="K724" s="247"/>
      <c r="L724" s="247"/>
      <c r="M724" s="238"/>
      <c r="N724" s="238"/>
      <c r="O724" s="251"/>
      <c r="P724" s="247"/>
      <c r="Q724" s="247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>
      <c r="A725" s="247"/>
      <c r="B725" s="247"/>
      <c r="C725" s="247"/>
      <c r="D725" s="238"/>
      <c r="E725" s="254"/>
      <c r="F725" s="255"/>
      <c r="G725" s="238"/>
      <c r="H725" s="247"/>
      <c r="I725" s="238"/>
      <c r="J725" s="247"/>
      <c r="K725" s="247"/>
      <c r="L725" s="247"/>
      <c r="M725" s="238"/>
      <c r="N725" s="238"/>
      <c r="O725" s="251"/>
      <c r="P725" s="247"/>
      <c r="Q725" s="247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>
      <c r="A726" s="247"/>
      <c r="B726" s="247"/>
      <c r="C726" s="247"/>
      <c r="D726" s="238"/>
      <c r="E726" s="254"/>
      <c r="F726" s="255"/>
      <c r="G726" s="238"/>
      <c r="H726" s="247"/>
      <c r="I726" s="238"/>
      <c r="J726" s="247"/>
      <c r="K726" s="247"/>
      <c r="L726" s="247"/>
      <c r="M726" s="238"/>
      <c r="N726" s="238"/>
      <c r="O726" s="251"/>
      <c r="P726" s="247"/>
      <c r="Q726" s="247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>
      <c r="A727" s="247"/>
      <c r="B727" s="247"/>
      <c r="C727" s="247"/>
      <c r="D727" s="238"/>
      <c r="E727" s="254"/>
      <c r="F727" s="255"/>
      <c r="G727" s="238"/>
      <c r="H727" s="247"/>
      <c r="I727" s="238"/>
      <c r="J727" s="247"/>
      <c r="K727" s="247"/>
      <c r="L727" s="247"/>
      <c r="M727" s="238"/>
      <c r="N727" s="238"/>
      <c r="O727" s="251"/>
      <c r="P727" s="247"/>
      <c r="Q727" s="247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>
      <c r="A728" s="247"/>
      <c r="B728" s="247"/>
      <c r="C728" s="247"/>
      <c r="D728" s="238"/>
      <c r="E728" s="254"/>
      <c r="F728" s="255"/>
      <c r="G728" s="238"/>
      <c r="H728" s="247"/>
      <c r="I728" s="238"/>
      <c r="J728" s="247"/>
      <c r="K728" s="247"/>
      <c r="L728" s="247"/>
      <c r="M728" s="238"/>
      <c r="N728" s="238"/>
      <c r="O728" s="251"/>
      <c r="P728" s="247"/>
      <c r="Q728" s="247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>
      <c r="A729" s="247"/>
      <c r="B729" s="247"/>
      <c r="C729" s="247"/>
      <c r="D729" s="238"/>
      <c r="E729" s="254"/>
      <c r="F729" s="255"/>
      <c r="G729" s="238"/>
      <c r="H729" s="247"/>
      <c r="I729" s="238"/>
      <c r="J729" s="247"/>
      <c r="K729" s="247"/>
      <c r="L729" s="247"/>
      <c r="M729" s="238"/>
      <c r="N729" s="238"/>
      <c r="O729" s="251"/>
      <c r="P729" s="247"/>
      <c r="Q729" s="247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>
      <c r="A730" s="247"/>
      <c r="B730" s="247"/>
      <c r="C730" s="247"/>
      <c r="D730" s="238"/>
      <c r="E730" s="254"/>
      <c r="F730" s="255"/>
      <c r="G730" s="238"/>
      <c r="H730" s="247"/>
      <c r="I730" s="238"/>
      <c r="J730" s="247"/>
      <c r="K730" s="247"/>
      <c r="L730" s="247"/>
      <c r="M730" s="238"/>
      <c r="N730" s="238"/>
      <c r="O730" s="251"/>
      <c r="P730" s="247"/>
      <c r="Q730" s="247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>
      <c r="A731" s="247"/>
      <c r="B731" s="247"/>
      <c r="C731" s="247"/>
      <c r="D731" s="238"/>
      <c r="E731" s="254"/>
      <c r="F731" s="255"/>
      <c r="G731" s="238"/>
      <c r="H731" s="247"/>
      <c r="I731" s="238"/>
      <c r="J731" s="247"/>
      <c r="K731" s="247"/>
      <c r="L731" s="247"/>
      <c r="M731" s="238"/>
      <c r="N731" s="238"/>
      <c r="O731" s="251"/>
      <c r="P731" s="247"/>
      <c r="Q731" s="247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>
      <c r="A732" s="247"/>
      <c r="B732" s="247"/>
      <c r="C732" s="247"/>
      <c r="D732" s="238"/>
      <c r="E732" s="254"/>
      <c r="F732" s="255"/>
      <c r="G732" s="238"/>
      <c r="H732" s="247"/>
      <c r="I732" s="238"/>
      <c r="J732" s="247"/>
      <c r="K732" s="247"/>
      <c r="L732" s="247"/>
      <c r="M732" s="238"/>
      <c r="N732" s="238"/>
      <c r="O732" s="251"/>
      <c r="P732" s="247"/>
      <c r="Q732" s="247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>
      <c r="A733" s="247"/>
      <c r="B733" s="247"/>
      <c r="C733" s="247"/>
      <c r="D733" s="238"/>
      <c r="E733" s="254"/>
      <c r="F733" s="255"/>
      <c r="G733" s="238"/>
      <c r="H733" s="247"/>
      <c r="I733" s="238"/>
      <c r="J733" s="247"/>
      <c r="K733" s="247"/>
      <c r="L733" s="247"/>
      <c r="M733" s="238"/>
      <c r="N733" s="238"/>
      <c r="O733" s="251"/>
      <c r="P733" s="247"/>
      <c r="Q733" s="247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>
      <c r="A734" s="247"/>
      <c r="B734" s="247"/>
      <c r="C734" s="247"/>
      <c r="D734" s="238"/>
      <c r="E734" s="254"/>
      <c r="F734" s="255"/>
      <c r="G734" s="238"/>
      <c r="H734" s="247"/>
      <c r="I734" s="238"/>
      <c r="J734" s="247"/>
      <c r="K734" s="247"/>
      <c r="L734" s="247"/>
      <c r="M734" s="238"/>
      <c r="N734" s="238"/>
      <c r="O734" s="251"/>
      <c r="P734" s="247"/>
      <c r="Q734" s="247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>
      <c r="A735" s="247"/>
      <c r="B735" s="247"/>
      <c r="C735" s="247"/>
      <c r="D735" s="238"/>
      <c r="E735" s="254"/>
      <c r="F735" s="255"/>
      <c r="G735" s="238"/>
      <c r="H735" s="247"/>
      <c r="I735" s="238"/>
      <c r="J735" s="247"/>
      <c r="K735" s="247"/>
      <c r="L735" s="247"/>
      <c r="M735" s="238"/>
      <c r="N735" s="238"/>
      <c r="O735" s="251"/>
      <c r="P735" s="247"/>
      <c r="Q735" s="247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>
      <c r="A736" s="247"/>
      <c r="B736" s="247"/>
      <c r="C736" s="247"/>
      <c r="D736" s="238"/>
      <c r="E736" s="254"/>
      <c r="F736" s="255"/>
      <c r="G736" s="238"/>
      <c r="H736" s="247"/>
      <c r="I736" s="238"/>
      <c r="J736" s="247"/>
      <c r="K736" s="247"/>
      <c r="L736" s="247"/>
      <c r="M736" s="238"/>
      <c r="N736" s="238"/>
      <c r="O736" s="251"/>
      <c r="P736" s="247"/>
      <c r="Q736" s="247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>
      <c r="A737" s="247"/>
      <c r="B737" s="247"/>
      <c r="C737" s="247"/>
      <c r="D737" s="238"/>
      <c r="E737" s="254"/>
      <c r="F737" s="255"/>
      <c r="G737" s="238"/>
      <c r="H737" s="247"/>
      <c r="I737" s="238"/>
      <c r="J737" s="247"/>
      <c r="K737" s="247"/>
      <c r="L737" s="247"/>
      <c r="M737" s="238"/>
      <c r="N737" s="238"/>
      <c r="O737" s="251"/>
      <c r="P737" s="247"/>
      <c r="Q737" s="247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>
      <c r="A738" s="247"/>
      <c r="B738" s="247"/>
      <c r="C738" s="247"/>
      <c r="D738" s="238"/>
      <c r="E738" s="254"/>
      <c r="F738" s="255"/>
      <c r="G738" s="238"/>
      <c r="H738" s="247"/>
      <c r="I738" s="238"/>
      <c r="J738" s="247"/>
      <c r="K738" s="247"/>
      <c r="L738" s="247"/>
      <c r="M738" s="238"/>
      <c r="N738" s="238"/>
      <c r="O738" s="251"/>
      <c r="P738" s="247"/>
      <c r="Q738" s="247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>
      <c r="A739" s="247"/>
      <c r="B739" s="247"/>
      <c r="C739" s="247"/>
      <c r="D739" s="238"/>
      <c r="E739" s="254"/>
      <c r="F739" s="255"/>
      <c r="G739" s="238"/>
      <c r="H739" s="247"/>
      <c r="I739" s="238"/>
      <c r="J739" s="247"/>
      <c r="K739" s="247"/>
      <c r="L739" s="247"/>
      <c r="M739" s="238"/>
      <c r="N739" s="238"/>
      <c r="O739" s="251"/>
      <c r="P739" s="247"/>
      <c r="Q739" s="247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>
      <c r="A740" s="247"/>
      <c r="B740" s="247"/>
      <c r="C740" s="247"/>
      <c r="D740" s="238"/>
      <c r="E740" s="254"/>
      <c r="F740" s="255"/>
      <c r="G740" s="238"/>
      <c r="H740" s="247"/>
      <c r="I740" s="238"/>
      <c r="J740" s="247"/>
      <c r="K740" s="247"/>
      <c r="L740" s="247"/>
      <c r="M740" s="238"/>
      <c r="N740" s="238"/>
      <c r="O740" s="251"/>
      <c r="P740" s="247"/>
      <c r="Q740" s="247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>
      <c r="A741" s="247"/>
      <c r="B741" s="247"/>
      <c r="C741" s="247"/>
      <c r="D741" s="238"/>
      <c r="E741" s="254"/>
      <c r="F741" s="255"/>
      <c r="G741" s="238"/>
      <c r="H741" s="247"/>
      <c r="I741" s="238"/>
      <c r="J741" s="247"/>
      <c r="K741" s="247"/>
      <c r="L741" s="247"/>
      <c r="M741" s="238"/>
      <c r="N741" s="238"/>
      <c r="O741" s="251"/>
      <c r="P741" s="247"/>
      <c r="Q741" s="247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>
      <c r="A742" s="247"/>
      <c r="B742" s="247"/>
      <c r="C742" s="247"/>
      <c r="D742" s="238"/>
      <c r="E742" s="254"/>
      <c r="F742" s="255"/>
      <c r="G742" s="238"/>
      <c r="H742" s="247"/>
      <c r="I742" s="238"/>
      <c r="J742" s="247"/>
      <c r="K742" s="247"/>
      <c r="L742" s="247"/>
      <c r="M742" s="238"/>
      <c r="N742" s="238"/>
      <c r="O742" s="251"/>
      <c r="P742" s="247"/>
      <c r="Q742" s="247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>
      <c r="A743" s="247"/>
      <c r="B743" s="247"/>
      <c r="C743" s="247"/>
      <c r="D743" s="238"/>
      <c r="E743" s="254"/>
      <c r="F743" s="255"/>
      <c r="G743" s="238"/>
      <c r="H743" s="247"/>
      <c r="I743" s="238"/>
      <c r="J743" s="247"/>
      <c r="K743" s="247"/>
      <c r="L743" s="247"/>
      <c r="M743" s="238"/>
      <c r="N743" s="238"/>
      <c r="O743" s="251"/>
      <c r="P743" s="247"/>
      <c r="Q743" s="247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>
      <c r="A744" s="247"/>
      <c r="B744" s="247"/>
      <c r="C744" s="247"/>
      <c r="D744" s="238"/>
      <c r="E744" s="254"/>
      <c r="F744" s="255"/>
      <c r="G744" s="238"/>
      <c r="H744" s="247"/>
      <c r="I744" s="238"/>
      <c r="J744" s="247"/>
      <c r="K744" s="247"/>
      <c r="L744" s="247"/>
      <c r="M744" s="238"/>
      <c r="N744" s="238"/>
      <c r="O744" s="251"/>
      <c r="P744" s="247"/>
      <c r="Q744" s="247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>
      <c r="A745" s="247"/>
      <c r="B745" s="247"/>
      <c r="C745" s="247"/>
      <c r="D745" s="238"/>
      <c r="E745" s="254"/>
      <c r="F745" s="255"/>
      <c r="G745" s="238"/>
      <c r="H745" s="247"/>
      <c r="I745" s="238"/>
      <c r="J745" s="247"/>
      <c r="K745" s="247"/>
      <c r="L745" s="247"/>
      <c r="M745" s="238"/>
      <c r="N745" s="238"/>
      <c r="O745" s="251"/>
      <c r="P745" s="247"/>
      <c r="Q745" s="247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>
      <c r="A746" s="247"/>
      <c r="B746" s="247"/>
      <c r="C746" s="247"/>
      <c r="D746" s="238"/>
      <c r="E746" s="254"/>
      <c r="F746" s="255"/>
      <c r="G746" s="238"/>
      <c r="H746" s="247"/>
      <c r="I746" s="238"/>
      <c r="J746" s="247"/>
      <c r="K746" s="247"/>
      <c r="L746" s="247"/>
      <c r="M746" s="238"/>
      <c r="N746" s="238"/>
      <c r="O746" s="251"/>
      <c r="P746" s="247"/>
      <c r="Q746" s="247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>
      <c r="A747" s="247"/>
      <c r="B747" s="247"/>
      <c r="C747" s="247"/>
      <c r="D747" s="238"/>
      <c r="E747" s="254"/>
      <c r="F747" s="255"/>
      <c r="G747" s="238"/>
      <c r="H747" s="247"/>
      <c r="I747" s="238"/>
      <c r="J747" s="247"/>
      <c r="K747" s="247"/>
      <c r="L747" s="247"/>
      <c r="M747" s="238"/>
      <c r="N747" s="238"/>
      <c r="O747" s="251"/>
      <c r="P747" s="247"/>
      <c r="Q747" s="247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>
      <c r="A748" s="247"/>
      <c r="B748" s="247"/>
      <c r="C748" s="247"/>
      <c r="D748" s="238"/>
      <c r="E748" s="254"/>
      <c r="F748" s="255"/>
      <c r="G748" s="238"/>
      <c r="H748" s="247"/>
      <c r="I748" s="238"/>
      <c r="J748" s="247"/>
      <c r="K748" s="247"/>
      <c r="L748" s="247"/>
      <c r="M748" s="238"/>
      <c r="N748" s="238"/>
      <c r="O748" s="251"/>
      <c r="P748" s="247"/>
      <c r="Q748" s="247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>
      <c r="A749" s="247"/>
      <c r="B749" s="247"/>
      <c r="C749" s="247"/>
      <c r="D749" s="238"/>
      <c r="E749" s="254"/>
      <c r="F749" s="255"/>
      <c r="G749" s="238"/>
      <c r="H749" s="247"/>
      <c r="I749" s="238"/>
      <c r="J749" s="247"/>
      <c r="K749" s="247"/>
      <c r="L749" s="247"/>
      <c r="M749" s="238"/>
      <c r="N749" s="238"/>
      <c r="O749" s="251"/>
      <c r="P749" s="247"/>
      <c r="Q749" s="247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>
      <c r="A750" s="247"/>
      <c r="B750" s="247"/>
      <c r="C750" s="247"/>
      <c r="D750" s="238"/>
      <c r="E750" s="254"/>
      <c r="F750" s="255"/>
      <c r="G750" s="238"/>
      <c r="H750" s="247"/>
      <c r="I750" s="238"/>
      <c r="J750" s="247"/>
      <c r="K750" s="247"/>
      <c r="L750" s="247"/>
      <c r="M750" s="238"/>
      <c r="N750" s="238"/>
      <c r="O750" s="251"/>
      <c r="P750" s="247"/>
      <c r="Q750" s="247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>
      <c r="A751" s="247"/>
      <c r="B751" s="247"/>
      <c r="C751" s="247"/>
      <c r="D751" s="238"/>
      <c r="E751" s="254"/>
      <c r="F751" s="255"/>
      <c r="G751" s="238"/>
      <c r="H751" s="247"/>
      <c r="I751" s="238"/>
      <c r="J751" s="247"/>
      <c r="K751" s="247"/>
      <c r="L751" s="247"/>
      <c r="M751" s="238"/>
      <c r="N751" s="238"/>
      <c r="O751" s="251"/>
      <c r="P751" s="247"/>
      <c r="Q751" s="247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>
      <c r="A752" s="247"/>
      <c r="B752" s="247"/>
      <c r="C752" s="247"/>
      <c r="D752" s="238"/>
      <c r="E752" s="254"/>
      <c r="F752" s="255"/>
      <c r="G752" s="238"/>
      <c r="H752" s="247"/>
      <c r="I752" s="238"/>
      <c r="J752" s="247"/>
      <c r="K752" s="247"/>
      <c r="L752" s="247"/>
      <c r="M752" s="238"/>
      <c r="N752" s="238"/>
      <c r="O752" s="251"/>
      <c r="P752" s="247"/>
      <c r="Q752" s="247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>
      <c r="A753" s="247"/>
      <c r="B753" s="247"/>
      <c r="C753" s="247"/>
      <c r="D753" s="238"/>
      <c r="E753" s="254"/>
      <c r="F753" s="255"/>
      <c r="G753" s="238"/>
      <c r="H753" s="247"/>
      <c r="I753" s="238"/>
      <c r="J753" s="247"/>
      <c r="K753" s="247"/>
      <c r="L753" s="247"/>
      <c r="M753" s="238"/>
      <c r="N753" s="238"/>
      <c r="O753" s="251"/>
      <c r="P753" s="247"/>
      <c r="Q753" s="247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>
      <c r="A754" s="247"/>
      <c r="B754" s="247"/>
      <c r="C754" s="247"/>
      <c r="D754" s="238"/>
      <c r="E754" s="254"/>
      <c r="F754" s="255"/>
      <c r="G754" s="238"/>
      <c r="H754" s="247"/>
      <c r="I754" s="238"/>
      <c r="J754" s="247"/>
      <c r="K754" s="247"/>
      <c r="L754" s="247"/>
      <c r="M754" s="238"/>
      <c r="N754" s="238"/>
      <c r="O754" s="251"/>
      <c r="P754" s="247"/>
      <c r="Q754" s="247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>
      <c r="A755" s="247"/>
      <c r="B755" s="247"/>
      <c r="C755" s="247"/>
      <c r="D755" s="238"/>
      <c r="E755" s="254"/>
      <c r="F755" s="255"/>
      <c r="G755" s="238"/>
      <c r="H755" s="247"/>
      <c r="I755" s="238"/>
      <c r="J755" s="247"/>
      <c r="K755" s="247"/>
      <c r="L755" s="247"/>
      <c r="M755" s="238"/>
      <c r="N755" s="238"/>
      <c r="O755" s="251"/>
      <c r="P755" s="247"/>
      <c r="Q755" s="247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>
      <c r="A756" s="247"/>
      <c r="B756" s="247"/>
      <c r="C756" s="247"/>
      <c r="D756" s="238"/>
      <c r="E756" s="254"/>
      <c r="F756" s="255"/>
      <c r="G756" s="238"/>
      <c r="H756" s="247"/>
      <c r="I756" s="238"/>
      <c r="J756" s="247"/>
      <c r="K756" s="247"/>
      <c r="L756" s="247"/>
      <c r="M756" s="238"/>
      <c r="N756" s="238"/>
      <c r="O756" s="251"/>
      <c r="P756" s="247"/>
      <c r="Q756" s="247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>
      <c r="A757" s="247"/>
      <c r="B757" s="247"/>
      <c r="C757" s="247"/>
      <c r="D757" s="238"/>
      <c r="E757" s="254"/>
      <c r="F757" s="255"/>
      <c r="G757" s="238"/>
      <c r="H757" s="247"/>
      <c r="I757" s="238"/>
      <c r="J757" s="247"/>
      <c r="K757" s="247"/>
      <c r="L757" s="247"/>
      <c r="M757" s="238"/>
      <c r="N757" s="238"/>
      <c r="O757" s="251"/>
      <c r="P757" s="247"/>
      <c r="Q757" s="247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>
      <c r="A758" s="247"/>
      <c r="B758" s="247"/>
      <c r="C758" s="247"/>
      <c r="D758" s="238"/>
      <c r="E758" s="254"/>
      <c r="F758" s="255"/>
      <c r="G758" s="238"/>
      <c r="H758" s="247"/>
      <c r="I758" s="238"/>
      <c r="J758" s="247"/>
      <c r="K758" s="247"/>
      <c r="L758" s="247"/>
      <c r="M758" s="238"/>
      <c r="N758" s="238"/>
      <c r="O758" s="251"/>
      <c r="P758" s="247"/>
      <c r="Q758" s="247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>
      <c r="A759" s="247"/>
      <c r="B759" s="247"/>
      <c r="C759" s="247"/>
      <c r="D759" s="238"/>
      <c r="E759" s="254"/>
      <c r="F759" s="255"/>
      <c r="G759" s="238"/>
      <c r="H759" s="247"/>
      <c r="I759" s="238"/>
      <c r="J759" s="247"/>
      <c r="K759" s="247"/>
      <c r="L759" s="247"/>
      <c r="M759" s="238"/>
      <c r="N759" s="238"/>
      <c r="O759" s="251"/>
      <c r="P759" s="247"/>
      <c r="Q759" s="247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>
      <c r="A760" s="247"/>
      <c r="B760" s="247"/>
      <c r="C760" s="247"/>
      <c r="D760" s="238"/>
      <c r="E760" s="254"/>
      <c r="F760" s="255"/>
      <c r="G760" s="238"/>
      <c r="H760" s="247"/>
      <c r="I760" s="238"/>
      <c r="J760" s="247"/>
      <c r="K760" s="247"/>
      <c r="L760" s="247"/>
      <c r="M760" s="238"/>
      <c r="N760" s="238"/>
      <c r="O760" s="251"/>
      <c r="P760" s="247"/>
      <c r="Q760" s="247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>
      <c r="A761" s="247"/>
      <c r="B761" s="247"/>
      <c r="C761" s="247"/>
      <c r="D761" s="238"/>
      <c r="E761" s="254"/>
      <c r="F761" s="255"/>
      <c r="G761" s="238"/>
      <c r="H761" s="247"/>
      <c r="I761" s="238"/>
      <c r="J761" s="247"/>
      <c r="K761" s="247"/>
      <c r="L761" s="247"/>
      <c r="M761" s="238"/>
      <c r="N761" s="238"/>
      <c r="O761" s="251"/>
      <c r="P761" s="247"/>
      <c r="Q761" s="247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>
      <c r="A762" s="247"/>
      <c r="B762" s="247"/>
      <c r="C762" s="247"/>
      <c r="D762" s="238"/>
      <c r="E762" s="254"/>
      <c r="F762" s="255"/>
      <c r="G762" s="238"/>
      <c r="H762" s="247"/>
      <c r="I762" s="238"/>
      <c r="J762" s="247"/>
      <c r="K762" s="247"/>
      <c r="L762" s="247"/>
      <c r="M762" s="238"/>
      <c r="N762" s="238"/>
      <c r="O762" s="251"/>
      <c r="P762" s="247"/>
      <c r="Q762" s="247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>
      <c r="A763" s="247"/>
      <c r="B763" s="247"/>
      <c r="C763" s="247"/>
      <c r="D763" s="238"/>
      <c r="E763" s="254"/>
      <c r="F763" s="255"/>
      <c r="G763" s="238"/>
      <c r="H763" s="247"/>
      <c r="I763" s="238"/>
      <c r="J763" s="247"/>
      <c r="K763" s="247"/>
      <c r="L763" s="247"/>
      <c r="M763" s="238"/>
      <c r="N763" s="238"/>
      <c r="O763" s="251"/>
      <c r="P763" s="247"/>
      <c r="Q763" s="247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>
      <c r="A764" s="247"/>
      <c r="B764" s="247"/>
      <c r="C764" s="247"/>
      <c r="D764" s="238"/>
      <c r="E764" s="254"/>
      <c r="F764" s="255"/>
      <c r="G764" s="238"/>
      <c r="H764" s="247"/>
      <c r="I764" s="238"/>
      <c r="J764" s="247"/>
      <c r="K764" s="247"/>
      <c r="L764" s="247"/>
      <c r="M764" s="238"/>
      <c r="N764" s="238"/>
      <c r="O764" s="251"/>
      <c r="P764" s="247"/>
      <c r="Q764" s="247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>
      <c r="A765" s="247"/>
      <c r="B765" s="247"/>
      <c r="C765" s="247"/>
      <c r="D765" s="238"/>
      <c r="E765" s="254"/>
      <c r="F765" s="255"/>
      <c r="G765" s="238"/>
      <c r="H765" s="247"/>
      <c r="I765" s="238"/>
      <c r="J765" s="247"/>
      <c r="K765" s="247"/>
      <c r="L765" s="247"/>
      <c r="M765" s="238"/>
      <c r="N765" s="238"/>
      <c r="O765" s="251"/>
      <c r="P765" s="247"/>
      <c r="Q765" s="247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>
      <c r="A766" s="247"/>
      <c r="B766" s="247"/>
      <c r="C766" s="247"/>
      <c r="D766" s="238"/>
      <c r="E766" s="254"/>
      <c r="F766" s="255"/>
      <c r="G766" s="238"/>
      <c r="H766" s="247"/>
      <c r="I766" s="238"/>
      <c r="J766" s="247"/>
      <c r="K766" s="247"/>
      <c r="L766" s="247"/>
      <c r="M766" s="238"/>
      <c r="N766" s="238"/>
      <c r="O766" s="251"/>
      <c r="P766" s="247"/>
      <c r="Q766" s="247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>
      <c r="A767" s="247"/>
      <c r="B767" s="247"/>
      <c r="C767" s="247"/>
      <c r="D767" s="238"/>
      <c r="E767" s="254"/>
      <c r="F767" s="255"/>
      <c r="G767" s="238"/>
      <c r="H767" s="247"/>
      <c r="I767" s="238"/>
      <c r="J767" s="247"/>
      <c r="K767" s="247"/>
      <c r="L767" s="247"/>
      <c r="M767" s="238"/>
      <c r="N767" s="238"/>
      <c r="O767" s="251"/>
      <c r="P767" s="247"/>
      <c r="Q767" s="247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>
      <c r="A768" s="247"/>
      <c r="B768" s="247"/>
      <c r="C768" s="247"/>
      <c r="D768" s="238"/>
      <c r="E768" s="254"/>
      <c r="F768" s="255"/>
      <c r="G768" s="238"/>
      <c r="H768" s="247"/>
      <c r="I768" s="238"/>
      <c r="J768" s="247"/>
      <c r="K768" s="247"/>
      <c r="L768" s="247"/>
      <c r="M768" s="238"/>
      <c r="N768" s="238"/>
      <c r="O768" s="251"/>
      <c r="P768" s="247"/>
      <c r="Q768" s="247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>
      <c r="A769" s="247"/>
      <c r="B769" s="247"/>
      <c r="C769" s="247"/>
      <c r="D769" s="238"/>
      <c r="E769" s="254"/>
      <c r="F769" s="255"/>
      <c r="G769" s="238"/>
      <c r="H769" s="247"/>
      <c r="I769" s="238"/>
      <c r="J769" s="247"/>
      <c r="K769" s="247"/>
      <c r="L769" s="247"/>
      <c r="M769" s="238"/>
      <c r="N769" s="238"/>
      <c r="O769" s="251"/>
      <c r="P769" s="247"/>
      <c r="Q769" s="247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>
      <c r="A770" s="247"/>
      <c r="B770" s="247"/>
      <c r="C770" s="247"/>
      <c r="D770" s="238"/>
      <c r="E770" s="254"/>
      <c r="F770" s="255"/>
      <c r="G770" s="238"/>
      <c r="H770" s="247"/>
      <c r="I770" s="238"/>
      <c r="J770" s="247"/>
      <c r="K770" s="247"/>
      <c r="L770" s="247"/>
      <c r="M770" s="238"/>
      <c r="N770" s="238"/>
      <c r="O770" s="251"/>
      <c r="P770" s="247"/>
      <c r="Q770" s="247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>
      <c r="A771" s="247"/>
      <c r="B771" s="247"/>
      <c r="C771" s="247"/>
      <c r="D771" s="238"/>
      <c r="E771" s="254"/>
      <c r="F771" s="255"/>
      <c r="G771" s="238"/>
      <c r="H771" s="247"/>
      <c r="I771" s="238"/>
      <c r="J771" s="247"/>
      <c r="K771" s="247"/>
      <c r="L771" s="247"/>
      <c r="M771" s="238"/>
      <c r="N771" s="238"/>
      <c r="O771" s="251"/>
      <c r="P771" s="247"/>
      <c r="Q771" s="247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>
      <c r="A772" s="247"/>
      <c r="B772" s="247"/>
      <c r="C772" s="247"/>
      <c r="D772" s="238"/>
      <c r="E772" s="254"/>
      <c r="F772" s="255"/>
      <c r="G772" s="238"/>
      <c r="H772" s="247"/>
      <c r="I772" s="238"/>
      <c r="J772" s="247"/>
      <c r="K772" s="247"/>
      <c r="L772" s="247"/>
      <c r="M772" s="238"/>
      <c r="N772" s="238"/>
      <c r="O772" s="251"/>
      <c r="P772" s="247"/>
      <c r="Q772" s="247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>
      <c r="A773" s="247"/>
      <c r="B773" s="247"/>
      <c r="C773" s="247"/>
      <c r="D773" s="238"/>
      <c r="E773" s="254"/>
      <c r="F773" s="255"/>
      <c r="G773" s="238"/>
      <c r="H773" s="247"/>
      <c r="I773" s="238"/>
      <c r="J773" s="247"/>
      <c r="K773" s="247"/>
      <c r="L773" s="247"/>
      <c r="M773" s="238"/>
      <c r="N773" s="238"/>
      <c r="O773" s="251"/>
      <c r="P773" s="247"/>
      <c r="Q773" s="247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>
      <c r="A774" s="247"/>
      <c r="B774" s="247"/>
      <c r="C774" s="247"/>
      <c r="D774" s="238"/>
      <c r="E774" s="254"/>
      <c r="F774" s="255"/>
      <c r="G774" s="238"/>
      <c r="H774" s="247"/>
      <c r="I774" s="238"/>
      <c r="J774" s="247"/>
      <c r="K774" s="247"/>
      <c r="L774" s="247"/>
      <c r="M774" s="238"/>
      <c r="N774" s="238"/>
      <c r="O774" s="251"/>
      <c r="P774" s="247"/>
      <c r="Q774" s="247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>
      <c r="A775" s="247"/>
      <c r="B775" s="247"/>
      <c r="C775" s="247"/>
      <c r="D775" s="238"/>
      <c r="E775" s="254"/>
      <c r="F775" s="255"/>
      <c r="G775" s="238"/>
      <c r="H775" s="247"/>
      <c r="I775" s="238"/>
      <c r="J775" s="247"/>
      <c r="K775" s="247"/>
      <c r="L775" s="247"/>
      <c r="M775" s="238"/>
      <c r="N775" s="238"/>
      <c r="O775" s="251"/>
      <c r="P775" s="247"/>
      <c r="Q775" s="247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>
      <c r="A776" s="247"/>
      <c r="B776" s="247"/>
      <c r="C776" s="247"/>
      <c r="D776" s="238"/>
      <c r="E776" s="254"/>
      <c r="F776" s="255"/>
      <c r="G776" s="238"/>
      <c r="H776" s="247"/>
      <c r="I776" s="238"/>
      <c r="J776" s="247"/>
      <c r="K776" s="247"/>
      <c r="L776" s="247"/>
      <c r="M776" s="238"/>
      <c r="N776" s="238"/>
      <c r="O776" s="251"/>
      <c r="P776" s="247"/>
      <c r="Q776" s="247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>
      <c r="A777" s="247"/>
      <c r="B777" s="247"/>
      <c r="C777" s="247"/>
      <c r="D777" s="238"/>
      <c r="E777" s="254"/>
      <c r="F777" s="255"/>
      <c r="G777" s="238"/>
      <c r="H777" s="247"/>
      <c r="I777" s="238"/>
      <c r="J777" s="247"/>
      <c r="K777" s="247"/>
      <c r="L777" s="247"/>
      <c r="M777" s="238"/>
      <c r="N777" s="238"/>
      <c r="O777" s="251"/>
      <c r="P777" s="247"/>
      <c r="Q777" s="247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>
      <c r="A778" s="247"/>
      <c r="B778" s="247"/>
      <c r="C778" s="247"/>
      <c r="D778" s="238"/>
      <c r="E778" s="254"/>
      <c r="F778" s="255"/>
      <c r="G778" s="238"/>
      <c r="H778" s="247"/>
      <c r="I778" s="238"/>
      <c r="J778" s="247"/>
      <c r="K778" s="247"/>
      <c r="L778" s="247"/>
      <c r="M778" s="238"/>
      <c r="N778" s="238"/>
      <c r="O778" s="251"/>
      <c r="P778" s="247"/>
      <c r="Q778" s="247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>
      <c r="A779" s="247"/>
      <c r="B779" s="247"/>
      <c r="C779" s="247"/>
      <c r="D779" s="238"/>
      <c r="E779" s="254"/>
      <c r="F779" s="255"/>
      <c r="G779" s="238"/>
      <c r="H779" s="247"/>
      <c r="I779" s="238"/>
      <c r="J779" s="247"/>
      <c r="K779" s="247"/>
      <c r="L779" s="247"/>
      <c r="M779" s="238"/>
      <c r="N779" s="238"/>
      <c r="O779" s="251"/>
      <c r="P779" s="247"/>
      <c r="Q779" s="247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>
      <c r="A780" s="247"/>
      <c r="B780" s="247"/>
      <c r="C780" s="247"/>
      <c r="D780" s="238"/>
      <c r="E780" s="254"/>
      <c r="F780" s="255"/>
      <c r="G780" s="238"/>
      <c r="H780" s="247"/>
      <c r="I780" s="238"/>
      <c r="J780" s="247"/>
      <c r="K780" s="247"/>
      <c r="L780" s="247"/>
      <c r="M780" s="238"/>
      <c r="N780" s="238"/>
      <c r="O780" s="251"/>
      <c r="P780" s="247"/>
      <c r="Q780" s="247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>
      <c r="A781" s="247"/>
      <c r="B781" s="247"/>
      <c r="C781" s="247"/>
      <c r="D781" s="238"/>
      <c r="E781" s="254"/>
      <c r="F781" s="255"/>
      <c r="G781" s="238"/>
      <c r="H781" s="247"/>
      <c r="I781" s="238"/>
      <c r="J781" s="247"/>
      <c r="K781" s="247"/>
      <c r="L781" s="247"/>
      <c r="M781" s="238"/>
      <c r="N781" s="238"/>
      <c r="O781" s="251"/>
      <c r="P781" s="247"/>
      <c r="Q781" s="247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>
      <c r="A782" s="247"/>
      <c r="B782" s="247"/>
      <c r="C782" s="247"/>
      <c r="D782" s="238"/>
      <c r="E782" s="254"/>
      <c r="F782" s="255"/>
      <c r="G782" s="238"/>
      <c r="H782" s="247"/>
      <c r="I782" s="238"/>
      <c r="J782" s="247"/>
      <c r="K782" s="247"/>
      <c r="L782" s="247"/>
      <c r="M782" s="238"/>
      <c r="N782" s="238"/>
      <c r="O782" s="251"/>
      <c r="P782" s="247"/>
      <c r="Q782" s="247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>
      <c r="A783" s="247"/>
      <c r="B783" s="247"/>
      <c r="C783" s="247"/>
      <c r="D783" s="238"/>
      <c r="E783" s="254"/>
      <c r="F783" s="255"/>
      <c r="G783" s="238"/>
      <c r="H783" s="247"/>
      <c r="I783" s="238"/>
      <c r="J783" s="247"/>
      <c r="K783" s="247"/>
      <c r="L783" s="247"/>
      <c r="M783" s="238"/>
      <c r="N783" s="238"/>
      <c r="O783" s="251"/>
      <c r="P783" s="247"/>
      <c r="Q783" s="247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>
      <c r="A784" s="247"/>
      <c r="B784" s="247"/>
      <c r="C784" s="247"/>
      <c r="D784" s="238"/>
      <c r="E784" s="254"/>
      <c r="F784" s="255"/>
      <c r="G784" s="238"/>
      <c r="H784" s="247"/>
      <c r="I784" s="238"/>
      <c r="J784" s="247"/>
      <c r="K784" s="247"/>
      <c r="L784" s="247"/>
      <c r="M784" s="238"/>
      <c r="N784" s="238"/>
      <c r="O784" s="251"/>
      <c r="P784" s="247"/>
      <c r="Q784" s="247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>
      <c r="A785" s="247"/>
      <c r="B785" s="247"/>
      <c r="C785" s="247"/>
      <c r="D785" s="238"/>
      <c r="E785" s="254"/>
      <c r="F785" s="255"/>
      <c r="G785" s="238"/>
      <c r="H785" s="247"/>
      <c r="I785" s="238"/>
      <c r="J785" s="247"/>
      <c r="K785" s="247"/>
      <c r="L785" s="247"/>
      <c r="M785" s="238"/>
      <c r="N785" s="238"/>
      <c r="O785" s="251"/>
      <c r="P785" s="247"/>
      <c r="Q785" s="247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>
      <c r="A786" s="247"/>
      <c r="B786" s="247"/>
      <c r="C786" s="247"/>
      <c r="D786" s="238"/>
      <c r="E786" s="254"/>
      <c r="F786" s="255"/>
      <c r="G786" s="238"/>
      <c r="H786" s="247"/>
      <c r="I786" s="238"/>
      <c r="J786" s="247"/>
      <c r="K786" s="247"/>
      <c r="L786" s="247"/>
      <c r="M786" s="238"/>
      <c r="N786" s="238"/>
      <c r="O786" s="251"/>
      <c r="P786" s="247"/>
      <c r="Q786" s="247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>
      <c r="A787" s="247"/>
      <c r="B787" s="247"/>
      <c r="C787" s="247"/>
      <c r="D787" s="238"/>
      <c r="E787" s="254"/>
      <c r="F787" s="255"/>
      <c r="G787" s="238"/>
      <c r="H787" s="247"/>
      <c r="I787" s="238"/>
      <c r="J787" s="247"/>
      <c r="K787" s="247"/>
      <c r="L787" s="247"/>
      <c r="M787" s="238"/>
      <c r="N787" s="238"/>
      <c r="O787" s="251"/>
      <c r="P787" s="247"/>
      <c r="Q787" s="247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>
      <c r="A788" s="247"/>
      <c r="B788" s="247"/>
      <c r="C788" s="247"/>
      <c r="D788" s="238"/>
      <c r="E788" s="254"/>
      <c r="F788" s="255"/>
      <c r="G788" s="238"/>
      <c r="H788" s="247"/>
      <c r="I788" s="238"/>
      <c r="J788" s="247"/>
      <c r="K788" s="247"/>
      <c r="L788" s="247"/>
      <c r="M788" s="238"/>
      <c r="N788" s="238"/>
      <c r="O788" s="251"/>
      <c r="P788" s="247"/>
      <c r="Q788" s="247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>
      <c r="A789" s="247"/>
      <c r="B789" s="247"/>
      <c r="C789" s="247"/>
      <c r="D789" s="238"/>
      <c r="E789" s="254"/>
      <c r="F789" s="255"/>
      <c r="G789" s="238"/>
      <c r="H789" s="247"/>
      <c r="I789" s="238"/>
      <c r="J789" s="247"/>
      <c r="K789" s="247"/>
      <c r="L789" s="247"/>
      <c r="M789" s="238"/>
      <c r="N789" s="238"/>
      <c r="O789" s="251"/>
      <c r="P789" s="247"/>
      <c r="Q789" s="247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>
      <c r="A790" s="247"/>
      <c r="B790" s="247"/>
      <c r="C790" s="247"/>
      <c r="D790" s="238"/>
      <c r="E790" s="254"/>
      <c r="F790" s="255"/>
      <c r="G790" s="238"/>
      <c r="H790" s="247"/>
      <c r="I790" s="238"/>
      <c r="J790" s="247"/>
      <c r="K790" s="247"/>
      <c r="L790" s="247"/>
      <c r="M790" s="238"/>
      <c r="N790" s="238"/>
      <c r="O790" s="251"/>
      <c r="P790" s="247"/>
      <c r="Q790" s="247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>
      <c r="A791" s="247"/>
      <c r="B791" s="247"/>
      <c r="C791" s="247"/>
      <c r="D791" s="238"/>
      <c r="E791" s="254"/>
      <c r="F791" s="255"/>
      <c r="G791" s="238"/>
      <c r="H791" s="247"/>
      <c r="I791" s="238"/>
      <c r="J791" s="247"/>
      <c r="K791" s="247"/>
      <c r="L791" s="247"/>
      <c r="M791" s="238"/>
      <c r="N791" s="238"/>
      <c r="O791" s="251"/>
      <c r="P791" s="247"/>
      <c r="Q791" s="247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>
      <c r="A792" s="247"/>
      <c r="B792" s="247"/>
      <c r="C792" s="247"/>
      <c r="D792" s="238"/>
      <c r="E792" s="254"/>
      <c r="F792" s="255"/>
      <c r="G792" s="238"/>
      <c r="H792" s="247"/>
      <c r="I792" s="238"/>
      <c r="J792" s="247"/>
      <c r="K792" s="247"/>
      <c r="L792" s="247"/>
      <c r="M792" s="238"/>
      <c r="N792" s="238"/>
      <c r="O792" s="251"/>
      <c r="P792" s="247"/>
      <c r="Q792" s="247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>
      <c r="A793" s="247"/>
      <c r="B793" s="247"/>
      <c r="C793" s="247"/>
      <c r="D793" s="238"/>
      <c r="E793" s="254"/>
      <c r="F793" s="255"/>
      <c r="G793" s="238"/>
      <c r="H793" s="247"/>
      <c r="I793" s="238"/>
      <c r="J793" s="247"/>
      <c r="K793" s="247"/>
      <c r="L793" s="247"/>
      <c r="M793" s="238"/>
      <c r="N793" s="238"/>
      <c r="O793" s="251"/>
      <c r="P793" s="247"/>
      <c r="Q793" s="247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>
      <c r="A794" s="247"/>
      <c r="B794" s="247"/>
      <c r="C794" s="247"/>
      <c r="D794" s="238"/>
      <c r="E794" s="254"/>
      <c r="F794" s="255"/>
      <c r="G794" s="238"/>
      <c r="H794" s="247"/>
      <c r="I794" s="238"/>
      <c r="J794" s="247"/>
      <c r="K794" s="247"/>
      <c r="L794" s="247"/>
      <c r="M794" s="238"/>
      <c r="N794" s="238"/>
      <c r="O794" s="251"/>
      <c r="P794" s="247"/>
      <c r="Q794" s="247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>
      <c r="A795" s="247"/>
      <c r="B795" s="247"/>
      <c r="C795" s="247"/>
      <c r="D795" s="238"/>
      <c r="E795" s="254"/>
      <c r="F795" s="255"/>
      <c r="G795" s="238"/>
      <c r="H795" s="247"/>
      <c r="I795" s="238"/>
      <c r="J795" s="247"/>
      <c r="K795" s="247"/>
      <c r="L795" s="247"/>
      <c r="M795" s="238"/>
      <c r="N795" s="238"/>
      <c r="O795" s="251"/>
      <c r="P795" s="247"/>
      <c r="Q795" s="247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>
      <c r="A796" s="247"/>
      <c r="B796" s="247"/>
      <c r="C796" s="247"/>
      <c r="D796" s="238"/>
      <c r="E796" s="254"/>
      <c r="F796" s="255"/>
      <c r="G796" s="238"/>
      <c r="H796" s="247"/>
      <c r="I796" s="238"/>
      <c r="J796" s="247"/>
      <c r="K796" s="247"/>
      <c r="L796" s="247"/>
      <c r="M796" s="238"/>
      <c r="N796" s="238"/>
      <c r="O796" s="251"/>
      <c r="P796" s="247"/>
      <c r="Q796" s="247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>
      <c r="A797" s="247"/>
      <c r="B797" s="247"/>
      <c r="C797" s="247"/>
      <c r="D797" s="238"/>
      <c r="E797" s="254"/>
      <c r="F797" s="255"/>
      <c r="G797" s="238"/>
      <c r="H797" s="247"/>
      <c r="I797" s="238"/>
      <c r="J797" s="247"/>
      <c r="K797" s="247"/>
      <c r="L797" s="247"/>
      <c r="M797" s="238"/>
      <c r="N797" s="238"/>
      <c r="O797" s="251"/>
      <c r="P797" s="247"/>
      <c r="Q797" s="247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>
      <c r="A798" s="247"/>
      <c r="B798" s="247"/>
      <c r="C798" s="247"/>
      <c r="D798" s="238"/>
      <c r="E798" s="254"/>
      <c r="F798" s="255"/>
      <c r="G798" s="238"/>
      <c r="H798" s="247"/>
      <c r="I798" s="238"/>
      <c r="J798" s="247"/>
      <c r="K798" s="247"/>
      <c r="L798" s="247"/>
      <c r="M798" s="238"/>
      <c r="N798" s="238"/>
      <c r="O798" s="251"/>
      <c r="P798" s="247"/>
      <c r="Q798" s="247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>
      <c r="A799" s="247"/>
      <c r="B799" s="247"/>
      <c r="C799" s="247"/>
      <c r="D799" s="238"/>
      <c r="E799" s="254"/>
      <c r="F799" s="255"/>
      <c r="G799" s="238"/>
      <c r="H799" s="247"/>
      <c r="I799" s="238"/>
      <c r="J799" s="247"/>
      <c r="K799" s="247"/>
      <c r="L799" s="247"/>
      <c r="M799" s="238"/>
      <c r="N799" s="238"/>
      <c r="O799" s="251"/>
      <c r="P799" s="247"/>
      <c r="Q799" s="247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>
      <c r="A800" s="247"/>
      <c r="B800" s="247"/>
      <c r="C800" s="247"/>
      <c r="D800" s="238"/>
      <c r="E800" s="254"/>
      <c r="F800" s="255"/>
      <c r="G800" s="238"/>
      <c r="H800" s="247"/>
      <c r="I800" s="238"/>
      <c r="J800" s="247"/>
      <c r="K800" s="247"/>
      <c r="L800" s="247"/>
      <c r="M800" s="238"/>
      <c r="N800" s="238"/>
      <c r="O800" s="251"/>
      <c r="P800" s="247"/>
      <c r="Q800" s="247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>
      <c r="A801" s="247"/>
      <c r="B801" s="247"/>
      <c r="C801" s="247"/>
      <c r="D801" s="238"/>
      <c r="E801" s="254"/>
      <c r="F801" s="255"/>
      <c r="G801" s="238"/>
      <c r="H801" s="247"/>
      <c r="I801" s="238"/>
      <c r="J801" s="247"/>
      <c r="K801" s="247"/>
      <c r="L801" s="247"/>
      <c r="M801" s="238"/>
      <c r="N801" s="238"/>
      <c r="O801" s="251"/>
      <c r="P801" s="247"/>
      <c r="Q801" s="247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>
      <c r="A802" s="247"/>
      <c r="B802" s="247"/>
      <c r="C802" s="247"/>
      <c r="D802" s="238"/>
      <c r="E802" s="254"/>
      <c r="F802" s="255"/>
      <c r="G802" s="238"/>
      <c r="H802" s="247"/>
      <c r="I802" s="238"/>
      <c r="J802" s="247"/>
      <c r="K802" s="247"/>
      <c r="L802" s="247"/>
      <c r="M802" s="238"/>
      <c r="N802" s="238"/>
      <c r="O802" s="251"/>
      <c r="P802" s="247"/>
      <c r="Q802" s="247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>
      <c r="A803" s="247"/>
      <c r="B803" s="247"/>
      <c r="C803" s="247"/>
      <c r="D803" s="238"/>
      <c r="E803" s="254"/>
      <c r="F803" s="255"/>
      <c r="G803" s="238"/>
      <c r="H803" s="247"/>
      <c r="I803" s="238"/>
      <c r="J803" s="247"/>
      <c r="K803" s="247"/>
      <c r="L803" s="247"/>
      <c r="M803" s="238"/>
      <c r="N803" s="238"/>
      <c r="O803" s="251"/>
      <c r="P803" s="247"/>
      <c r="Q803" s="247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>
      <c r="A804" s="247"/>
      <c r="B804" s="247"/>
      <c r="C804" s="247"/>
      <c r="D804" s="238"/>
      <c r="E804" s="254"/>
      <c r="F804" s="255"/>
      <c r="G804" s="238"/>
      <c r="H804" s="247"/>
      <c r="I804" s="238"/>
      <c r="J804" s="247"/>
      <c r="K804" s="247"/>
      <c r="L804" s="247"/>
      <c r="M804" s="238"/>
      <c r="N804" s="238"/>
      <c r="O804" s="251"/>
      <c r="P804" s="247"/>
      <c r="Q804" s="247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>
      <c r="A805" s="247"/>
      <c r="B805" s="247"/>
      <c r="C805" s="247"/>
      <c r="D805" s="238"/>
      <c r="E805" s="254"/>
      <c r="F805" s="255"/>
      <c r="G805" s="238"/>
      <c r="H805" s="247"/>
      <c r="I805" s="238"/>
      <c r="J805" s="247"/>
      <c r="K805" s="247"/>
      <c r="L805" s="247"/>
      <c r="M805" s="238"/>
      <c r="N805" s="238"/>
      <c r="O805" s="251"/>
      <c r="P805" s="247"/>
      <c r="Q805" s="247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>
      <c r="A806" s="247"/>
      <c r="B806" s="247"/>
      <c r="C806" s="247"/>
      <c r="D806" s="238"/>
      <c r="E806" s="254"/>
      <c r="F806" s="255"/>
      <c r="G806" s="238"/>
      <c r="H806" s="247"/>
      <c r="I806" s="238"/>
      <c r="J806" s="247"/>
      <c r="K806" s="247"/>
      <c r="L806" s="247"/>
      <c r="M806" s="238"/>
      <c r="N806" s="238"/>
      <c r="O806" s="251"/>
      <c r="P806" s="247"/>
      <c r="Q806" s="247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>
      <c r="A807" s="247"/>
      <c r="B807" s="247"/>
      <c r="C807" s="247"/>
      <c r="D807" s="238"/>
      <c r="E807" s="254"/>
      <c r="F807" s="255"/>
      <c r="G807" s="238"/>
      <c r="H807" s="247"/>
      <c r="I807" s="238"/>
      <c r="J807" s="247"/>
      <c r="K807" s="247"/>
      <c r="L807" s="247"/>
      <c r="M807" s="238"/>
      <c r="N807" s="238"/>
      <c r="O807" s="251"/>
      <c r="P807" s="247"/>
      <c r="Q807" s="247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>
      <c r="A808" s="247"/>
      <c r="B808" s="247"/>
      <c r="C808" s="247"/>
      <c r="D808" s="238"/>
      <c r="E808" s="254"/>
      <c r="F808" s="255"/>
      <c r="G808" s="238"/>
      <c r="H808" s="247"/>
      <c r="I808" s="238"/>
      <c r="J808" s="247"/>
      <c r="K808" s="247"/>
      <c r="L808" s="247"/>
      <c r="M808" s="238"/>
      <c r="N808" s="238"/>
      <c r="O808" s="251"/>
      <c r="P808" s="247"/>
      <c r="Q808" s="247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>
      <c r="A809" s="247"/>
      <c r="B809" s="247"/>
      <c r="C809" s="247"/>
      <c r="D809" s="238"/>
      <c r="E809" s="254"/>
      <c r="F809" s="255"/>
      <c r="G809" s="238"/>
      <c r="H809" s="247"/>
      <c r="I809" s="238"/>
      <c r="J809" s="247"/>
      <c r="K809" s="247"/>
      <c r="L809" s="247"/>
      <c r="M809" s="238"/>
      <c r="N809" s="238"/>
      <c r="O809" s="251"/>
      <c r="P809" s="247"/>
      <c r="Q809" s="247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>
      <c r="A810" s="247"/>
      <c r="B810" s="247"/>
      <c r="C810" s="247"/>
      <c r="D810" s="238"/>
      <c r="E810" s="254"/>
      <c r="F810" s="255"/>
      <c r="G810" s="238"/>
      <c r="H810" s="247"/>
      <c r="I810" s="238"/>
      <c r="J810" s="247"/>
      <c r="K810" s="247"/>
      <c r="L810" s="247"/>
      <c r="M810" s="238"/>
      <c r="N810" s="238"/>
      <c r="O810" s="251"/>
      <c r="P810" s="247"/>
      <c r="Q810" s="247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>
      <c r="A811" s="247"/>
      <c r="B811" s="247"/>
      <c r="C811" s="247"/>
      <c r="D811" s="238"/>
      <c r="E811" s="254"/>
      <c r="F811" s="255"/>
      <c r="G811" s="238"/>
      <c r="H811" s="247"/>
      <c r="I811" s="238"/>
      <c r="J811" s="247"/>
      <c r="K811" s="247"/>
      <c r="L811" s="247"/>
      <c r="M811" s="238"/>
      <c r="N811" s="238"/>
      <c r="O811" s="251"/>
      <c r="P811" s="247"/>
      <c r="Q811" s="247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>
      <c r="A812" s="247"/>
      <c r="B812" s="247"/>
      <c r="C812" s="247"/>
      <c r="D812" s="238"/>
      <c r="E812" s="254"/>
      <c r="F812" s="255"/>
      <c r="G812" s="238"/>
      <c r="H812" s="247"/>
      <c r="I812" s="238"/>
      <c r="J812" s="247"/>
      <c r="K812" s="247"/>
      <c r="L812" s="247"/>
      <c r="M812" s="238"/>
      <c r="N812" s="238"/>
      <c r="O812" s="251"/>
      <c r="P812" s="247"/>
      <c r="Q812" s="247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>
      <c r="A813" s="247"/>
      <c r="B813" s="247"/>
      <c r="C813" s="247"/>
      <c r="D813" s="238"/>
      <c r="E813" s="254"/>
      <c r="F813" s="255"/>
      <c r="G813" s="238"/>
      <c r="H813" s="247"/>
      <c r="I813" s="238"/>
      <c r="J813" s="247"/>
      <c r="K813" s="247"/>
      <c r="L813" s="247"/>
      <c r="M813" s="238"/>
      <c r="N813" s="238"/>
      <c r="O813" s="251"/>
      <c r="P813" s="247"/>
      <c r="Q813" s="247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>
      <c r="A814" s="247"/>
      <c r="B814" s="247"/>
      <c r="C814" s="247"/>
      <c r="D814" s="238"/>
      <c r="E814" s="254"/>
      <c r="F814" s="255"/>
      <c r="G814" s="238"/>
      <c r="H814" s="247"/>
      <c r="I814" s="238"/>
      <c r="J814" s="247"/>
      <c r="K814" s="247"/>
      <c r="L814" s="247"/>
      <c r="M814" s="238"/>
      <c r="N814" s="238"/>
      <c r="O814" s="251"/>
      <c r="P814" s="247"/>
      <c r="Q814" s="247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>
      <c r="A815" s="247"/>
      <c r="B815" s="247"/>
      <c r="C815" s="247"/>
      <c r="D815" s="238"/>
      <c r="E815" s="254"/>
      <c r="F815" s="255"/>
      <c r="G815" s="238"/>
      <c r="H815" s="247"/>
      <c r="I815" s="238"/>
      <c r="J815" s="247"/>
      <c r="K815" s="247"/>
      <c r="L815" s="247"/>
      <c r="M815" s="238"/>
      <c r="N815" s="238"/>
      <c r="O815" s="251"/>
      <c r="P815" s="247"/>
      <c r="Q815" s="247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>
      <c r="A816" s="247"/>
      <c r="B816" s="247"/>
      <c r="C816" s="247"/>
      <c r="D816" s="238"/>
      <c r="E816" s="254"/>
      <c r="F816" s="255"/>
      <c r="G816" s="238"/>
      <c r="H816" s="247"/>
      <c r="I816" s="238"/>
      <c r="J816" s="247"/>
      <c r="K816" s="247"/>
      <c r="L816" s="247"/>
      <c r="M816" s="238"/>
      <c r="N816" s="238"/>
      <c r="O816" s="251"/>
      <c r="P816" s="247"/>
      <c r="Q816" s="247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>
      <c r="A817" s="247"/>
      <c r="B817" s="247"/>
      <c r="C817" s="247"/>
      <c r="D817" s="238"/>
      <c r="E817" s="254"/>
      <c r="F817" s="255"/>
      <c r="G817" s="238"/>
      <c r="H817" s="247"/>
      <c r="I817" s="238"/>
      <c r="J817" s="247"/>
      <c r="K817" s="247"/>
      <c r="L817" s="247"/>
      <c r="M817" s="238"/>
      <c r="N817" s="238"/>
      <c r="O817" s="251"/>
      <c r="P817" s="247"/>
      <c r="Q817" s="247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>
      <c r="A818" s="247"/>
      <c r="B818" s="247"/>
      <c r="C818" s="247"/>
      <c r="D818" s="238"/>
      <c r="E818" s="254"/>
      <c r="F818" s="255"/>
      <c r="G818" s="238"/>
      <c r="H818" s="247"/>
      <c r="I818" s="238"/>
      <c r="J818" s="247"/>
      <c r="K818" s="247"/>
      <c r="L818" s="247"/>
      <c r="M818" s="238"/>
      <c r="N818" s="238"/>
      <c r="O818" s="251"/>
      <c r="P818" s="247"/>
      <c r="Q818" s="247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>
      <c r="A819" s="247"/>
      <c r="B819" s="247"/>
      <c r="C819" s="247"/>
      <c r="D819" s="238"/>
      <c r="E819" s="254"/>
      <c r="F819" s="255"/>
      <c r="G819" s="238"/>
      <c r="H819" s="247"/>
      <c r="I819" s="238"/>
      <c r="J819" s="247"/>
      <c r="K819" s="247"/>
      <c r="L819" s="247"/>
      <c r="M819" s="238"/>
      <c r="N819" s="238"/>
      <c r="O819" s="251"/>
      <c r="P819" s="247"/>
      <c r="Q819" s="247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>
      <c r="A820" s="247"/>
      <c r="B820" s="247"/>
      <c r="C820" s="247"/>
      <c r="D820" s="238"/>
      <c r="E820" s="254"/>
      <c r="F820" s="255"/>
      <c r="G820" s="238"/>
      <c r="H820" s="247"/>
      <c r="I820" s="238"/>
      <c r="J820" s="247"/>
      <c r="K820" s="247"/>
      <c r="L820" s="247"/>
      <c r="M820" s="238"/>
      <c r="N820" s="238"/>
      <c r="O820" s="251"/>
      <c r="P820" s="247"/>
      <c r="Q820" s="247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>
      <c r="A821" s="247"/>
      <c r="B821" s="247"/>
      <c r="C821" s="247"/>
      <c r="D821" s="238"/>
      <c r="E821" s="254"/>
      <c r="F821" s="255"/>
      <c r="G821" s="238"/>
      <c r="H821" s="247"/>
      <c r="I821" s="238"/>
      <c r="J821" s="247"/>
      <c r="K821" s="247"/>
      <c r="L821" s="247"/>
      <c r="M821" s="238"/>
      <c r="N821" s="238"/>
      <c r="O821" s="251"/>
      <c r="P821" s="247"/>
      <c r="Q821" s="247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>
      <c r="A822" s="247"/>
      <c r="B822" s="247"/>
      <c r="C822" s="247"/>
      <c r="D822" s="238"/>
      <c r="E822" s="254"/>
      <c r="F822" s="255"/>
      <c r="G822" s="238"/>
      <c r="H822" s="247"/>
      <c r="I822" s="238"/>
      <c r="J822" s="247"/>
      <c r="K822" s="247"/>
      <c r="L822" s="247"/>
      <c r="M822" s="238"/>
      <c r="N822" s="238"/>
      <c r="O822" s="251"/>
      <c r="P822" s="247"/>
      <c r="Q822" s="247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>
      <c r="A823" s="247"/>
      <c r="B823" s="247"/>
      <c r="C823" s="247"/>
      <c r="D823" s="238"/>
      <c r="E823" s="254"/>
      <c r="F823" s="255"/>
      <c r="G823" s="238"/>
      <c r="H823" s="247"/>
      <c r="I823" s="238"/>
      <c r="J823" s="247"/>
      <c r="K823" s="247"/>
      <c r="L823" s="247"/>
      <c r="M823" s="238"/>
      <c r="N823" s="238"/>
      <c r="O823" s="251"/>
      <c r="P823" s="247"/>
      <c r="Q823" s="247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>
      <c r="A824" s="247"/>
      <c r="B824" s="247"/>
      <c r="C824" s="247"/>
      <c r="D824" s="238"/>
      <c r="E824" s="254"/>
      <c r="F824" s="255"/>
      <c r="G824" s="238"/>
      <c r="H824" s="247"/>
      <c r="I824" s="238"/>
      <c r="J824" s="247"/>
      <c r="K824" s="247"/>
      <c r="L824" s="247"/>
      <c r="M824" s="238"/>
      <c r="N824" s="238"/>
      <c r="O824" s="251"/>
      <c r="P824" s="247"/>
      <c r="Q824" s="247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>
      <c r="A825" s="247"/>
      <c r="B825" s="247"/>
      <c r="C825" s="247"/>
      <c r="D825" s="238"/>
      <c r="E825" s="254"/>
      <c r="F825" s="255"/>
      <c r="G825" s="238"/>
      <c r="H825" s="247"/>
      <c r="I825" s="238"/>
      <c r="J825" s="247"/>
      <c r="K825" s="247"/>
      <c r="L825" s="247"/>
      <c r="M825" s="238"/>
      <c r="N825" s="238"/>
      <c r="O825" s="251"/>
      <c r="P825" s="247"/>
      <c r="Q825" s="247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>
      <c r="A826" s="247"/>
      <c r="B826" s="247"/>
      <c r="C826" s="247"/>
      <c r="D826" s="238"/>
      <c r="E826" s="254"/>
      <c r="F826" s="255"/>
      <c r="G826" s="238"/>
      <c r="H826" s="247"/>
      <c r="I826" s="238"/>
      <c r="J826" s="247"/>
      <c r="K826" s="247"/>
      <c r="L826" s="247"/>
      <c r="M826" s="238"/>
      <c r="N826" s="238"/>
      <c r="O826" s="251"/>
      <c r="P826" s="247"/>
      <c r="Q826" s="247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>
      <c r="A827" s="247"/>
      <c r="B827" s="247"/>
      <c r="C827" s="247"/>
      <c r="D827" s="238"/>
      <c r="E827" s="254"/>
      <c r="F827" s="255"/>
      <c r="G827" s="238"/>
      <c r="H827" s="247"/>
      <c r="I827" s="238"/>
      <c r="J827" s="247"/>
      <c r="K827" s="247"/>
      <c r="L827" s="247"/>
      <c r="M827" s="238"/>
      <c r="N827" s="238"/>
      <c r="O827" s="251"/>
      <c r="P827" s="247"/>
      <c r="Q827" s="247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>
      <c r="A828" s="247"/>
      <c r="B828" s="247"/>
      <c r="C828" s="247"/>
      <c r="D828" s="238"/>
      <c r="E828" s="254"/>
      <c r="F828" s="255"/>
      <c r="G828" s="238"/>
      <c r="H828" s="247"/>
      <c r="I828" s="238"/>
      <c r="J828" s="247"/>
      <c r="K828" s="247"/>
      <c r="L828" s="247"/>
      <c r="M828" s="238"/>
      <c r="N828" s="238"/>
      <c r="O828" s="251"/>
      <c r="P828" s="247"/>
      <c r="Q828" s="247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>
      <c r="A829" s="247"/>
      <c r="B829" s="247"/>
      <c r="C829" s="247"/>
      <c r="D829" s="238"/>
      <c r="E829" s="254"/>
      <c r="F829" s="255"/>
      <c r="G829" s="238"/>
      <c r="H829" s="247"/>
      <c r="I829" s="238"/>
      <c r="J829" s="247"/>
      <c r="K829" s="247"/>
      <c r="L829" s="247"/>
      <c r="M829" s="238"/>
      <c r="N829" s="238"/>
      <c r="O829" s="251"/>
      <c r="P829" s="247"/>
      <c r="Q829" s="247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>
      <c r="A830" s="247"/>
      <c r="B830" s="247"/>
      <c r="C830" s="247"/>
      <c r="D830" s="238"/>
      <c r="E830" s="254"/>
      <c r="F830" s="255"/>
      <c r="G830" s="238"/>
      <c r="H830" s="247"/>
      <c r="I830" s="238"/>
      <c r="J830" s="247"/>
      <c r="K830" s="247"/>
      <c r="L830" s="247"/>
      <c r="M830" s="238"/>
      <c r="N830" s="238"/>
      <c r="O830" s="251"/>
      <c r="P830" s="247"/>
      <c r="Q830" s="247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>
      <c r="A831" s="247"/>
      <c r="B831" s="247"/>
      <c r="C831" s="247"/>
      <c r="D831" s="238"/>
      <c r="E831" s="254"/>
      <c r="F831" s="255"/>
      <c r="G831" s="238"/>
      <c r="H831" s="247"/>
      <c r="I831" s="238"/>
      <c r="J831" s="247"/>
      <c r="K831" s="247"/>
      <c r="L831" s="247"/>
      <c r="M831" s="238"/>
      <c r="N831" s="238"/>
      <c r="O831" s="251"/>
      <c r="P831" s="247"/>
      <c r="Q831" s="247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>
      <c r="A832" s="247"/>
      <c r="B832" s="247"/>
      <c r="C832" s="247"/>
      <c r="D832" s="238"/>
      <c r="E832" s="254"/>
      <c r="F832" s="255"/>
      <c r="G832" s="238"/>
      <c r="H832" s="247"/>
      <c r="I832" s="238"/>
      <c r="J832" s="247"/>
      <c r="K832" s="247"/>
      <c r="L832" s="247"/>
      <c r="M832" s="238"/>
      <c r="N832" s="238"/>
      <c r="O832" s="251"/>
      <c r="P832" s="247"/>
      <c r="Q832" s="247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>
      <c r="A833" s="247"/>
      <c r="B833" s="247"/>
      <c r="C833" s="247"/>
      <c r="D833" s="238"/>
      <c r="E833" s="254"/>
      <c r="F833" s="255"/>
      <c r="G833" s="238"/>
      <c r="H833" s="247"/>
      <c r="I833" s="238"/>
      <c r="J833" s="247"/>
      <c r="K833" s="247"/>
      <c r="L833" s="247"/>
      <c r="M833" s="238"/>
      <c r="N833" s="238"/>
      <c r="O833" s="251"/>
      <c r="P833" s="247"/>
      <c r="Q833" s="247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>
      <c r="A834" s="247"/>
      <c r="B834" s="247"/>
      <c r="C834" s="247"/>
      <c r="D834" s="238"/>
      <c r="E834" s="254"/>
      <c r="F834" s="255"/>
      <c r="G834" s="238"/>
      <c r="H834" s="247"/>
      <c r="I834" s="238"/>
      <c r="J834" s="247"/>
      <c r="K834" s="247"/>
      <c r="L834" s="247"/>
      <c r="M834" s="238"/>
      <c r="N834" s="238"/>
      <c r="O834" s="251"/>
      <c r="P834" s="247"/>
      <c r="Q834" s="247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>
      <c r="A835" s="247"/>
      <c r="B835" s="247"/>
      <c r="C835" s="247"/>
      <c r="D835" s="238"/>
      <c r="E835" s="254"/>
      <c r="F835" s="255"/>
      <c r="G835" s="238"/>
      <c r="H835" s="247"/>
      <c r="I835" s="238"/>
      <c r="J835" s="247"/>
      <c r="K835" s="247"/>
      <c r="L835" s="247"/>
      <c r="M835" s="238"/>
      <c r="N835" s="238"/>
      <c r="O835" s="251"/>
      <c r="P835" s="247"/>
      <c r="Q835" s="247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>
      <c r="A836" s="247"/>
      <c r="B836" s="247"/>
      <c r="C836" s="247"/>
      <c r="D836" s="238"/>
      <c r="E836" s="254"/>
      <c r="F836" s="255"/>
      <c r="G836" s="238"/>
      <c r="H836" s="247"/>
      <c r="I836" s="238"/>
      <c r="J836" s="247"/>
      <c r="K836" s="247"/>
      <c r="L836" s="247"/>
      <c r="M836" s="238"/>
      <c r="N836" s="238"/>
      <c r="O836" s="251"/>
      <c r="P836" s="247"/>
      <c r="Q836" s="247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>
      <c r="A837" s="247"/>
      <c r="B837" s="247"/>
      <c r="C837" s="247"/>
      <c r="D837" s="238"/>
      <c r="E837" s="254"/>
      <c r="F837" s="255"/>
      <c r="G837" s="238"/>
      <c r="H837" s="247"/>
      <c r="I837" s="238"/>
      <c r="J837" s="247"/>
      <c r="K837" s="247"/>
      <c r="L837" s="247"/>
      <c r="M837" s="238"/>
      <c r="N837" s="238"/>
      <c r="O837" s="251"/>
      <c r="P837" s="247"/>
      <c r="Q837" s="247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>
      <c r="A838" s="247"/>
      <c r="B838" s="247"/>
      <c r="C838" s="247"/>
      <c r="D838" s="238"/>
      <c r="E838" s="254"/>
      <c r="F838" s="255"/>
      <c r="G838" s="238"/>
      <c r="H838" s="247"/>
      <c r="I838" s="238"/>
      <c r="J838" s="247"/>
      <c r="K838" s="247"/>
      <c r="L838" s="247"/>
      <c r="M838" s="238"/>
      <c r="N838" s="238"/>
      <c r="O838" s="251"/>
      <c r="P838" s="247"/>
      <c r="Q838" s="247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>
      <c r="A839" s="247"/>
      <c r="B839" s="247"/>
      <c r="C839" s="247"/>
      <c r="D839" s="238"/>
      <c r="E839" s="254"/>
      <c r="F839" s="255"/>
      <c r="G839" s="238"/>
      <c r="H839" s="247"/>
      <c r="I839" s="238"/>
      <c r="J839" s="247"/>
      <c r="K839" s="247"/>
      <c r="L839" s="247"/>
      <c r="M839" s="238"/>
      <c r="N839" s="238"/>
      <c r="O839" s="251"/>
      <c r="P839" s="247"/>
      <c r="Q839" s="247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>
      <c r="A840" s="247"/>
      <c r="B840" s="247"/>
      <c r="C840" s="247"/>
      <c r="D840" s="238"/>
      <c r="E840" s="254"/>
      <c r="F840" s="255"/>
      <c r="G840" s="238"/>
      <c r="H840" s="247"/>
      <c r="I840" s="238"/>
      <c r="J840" s="247"/>
      <c r="K840" s="247"/>
      <c r="L840" s="247"/>
      <c r="M840" s="238"/>
      <c r="N840" s="238"/>
      <c r="O840" s="251"/>
      <c r="P840" s="247"/>
      <c r="Q840" s="247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>
      <c r="A841" s="247"/>
      <c r="B841" s="247"/>
      <c r="C841" s="247"/>
      <c r="D841" s="238"/>
      <c r="E841" s="254"/>
      <c r="F841" s="255"/>
      <c r="G841" s="238"/>
      <c r="H841" s="247"/>
      <c r="I841" s="238"/>
      <c r="J841" s="247"/>
      <c r="K841" s="247"/>
      <c r="L841" s="247"/>
      <c r="M841" s="238"/>
      <c r="N841" s="238"/>
      <c r="O841" s="251"/>
      <c r="P841" s="247"/>
      <c r="Q841" s="247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>
      <c r="A842" s="247"/>
      <c r="B842" s="247"/>
      <c r="C842" s="247"/>
      <c r="D842" s="238"/>
      <c r="E842" s="254"/>
      <c r="F842" s="255"/>
      <c r="G842" s="238"/>
      <c r="H842" s="247"/>
      <c r="I842" s="238"/>
      <c r="J842" s="247"/>
      <c r="K842" s="247"/>
      <c r="L842" s="247"/>
      <c r="M842" s="238"/>
      <c r="N842" s="238"/>
      <c r="O842" s="251"/>
      <c r="P842" s="247"/>
      <c r="Q842" s="247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>
      <c r="A843" s="247"/>
      <c r="B843" s="247"/>
      <c r="C843" s="247"/>
      <c r="D843" s="238"/>
      <c r="E843" s="254"/>
      <c r="F843" s="255"/>
      <c r="G843" s="238"/>
      <c r="H843" s="247"/>
      <c r="I843" s="238"/>
      <c r="J843" s="247"/>
      <c r="K843" s="247"/>
      <c r="L843" s="247"/>
      <c r="M843" s="238"/>
      <c r="N843" s="238"/>
      <c r="O843" s="251"/>
      <c r="P843" s="247"/>
      <c r="Q843" s="247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>
      <c r="A844" s="247"/>
      <c r="B844" s="247"/>
      <c r="C844" s="247"/>
      <c r="D844" s="238"/>
      <c r="E844" s="254"/>
      <c r="F844" s="255"/>
      <c r="G844" s="238"/>
      <c r="H844" s="247"/>
      <c r="I844" s="238"/>
      <c r="J844" s="247"/>
      <c r="K844" s="247"/>
      <c r="L844" s="247"/>
      <c r="M844" s="238"/>
      <c r="N844" s="238"/>
      <c r="O844" s="251"/>
      <c r="P844" s="247"/>
      <c r="Q844" s="247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>
      <c r="A845" s="247"/>
      <c r="B845" s="247"/>
      <c r="C845" s="247"/>
      <c r="D845" s="238"/>
      <c r="E845" s="254"/>
      <c r="F845" s="255"/>
      <c r="G845" s="238"/>
      <c r="H845" s="247"/>
      <c r="I845" s="238"/>
      <c r="J845" s="247"/>
      <c r="K845" s="247"/>
      <c r="L845" s="247"/>
      <c r="M845" s="238"/>
      <c r="N845" s="238"/>
      <c r="O845" s="251"/>
      <c r="P845" s="247"/>
      <c r="Q845" s="247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>
      <c r="A846" s="247"/>
      <c r="B846" s="247"/>
      <c r="C846" s="247"/>
      <c r="D846" s="238"/>
      <c r="E846" s="254"/>
      <c r="F846" s="255"/>
      <c r="G846" s="238"/>
      <c r="H846" s="247"/>
      <c r="I846" s="238"/>
      <c r="J846" s="247"/>
      <c r="K846" s="247"/>
      <c r="L846" s="247"/>
      <c r="M846" s="238"/>
      <c r="N846" s="238"/>
      <c r="O846" s="251"/>
      <c r="P846" s="247"/>
      <c r="Q846" s="247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>
      <c r="A847" s="247"/>
      <c r="B847" s="247"/>
      <c r="C847" s="247"/>
      <c r="D847" s="238"/>
      <c r="E847" s="254"/>
      <c r="F847" s="255"/>
      <c r="G847" s="238"/>
      <c r="H847" s="247"/>
      <c r="I847" s="238"/>
      <c r="J847" s="247"/>
      <c r="K847" s="247"/>
      <c r="L847" s="247"/>
      <c r="M847" s="238"/>
      <c r="N847" s="238"/>
      <c r="O847" s="251"/>
      <c r="P847" s="247"/>
      <c r="Q847" s="247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>
      <c r="A848" s="247"/>
      <c r="B848" s="247"/>
      <c r="C848" s="247"/>
      <c r="D848" s="238"/>
      <c r="E848" s="254"/>
      <c r="F848" s="255"/>
      <c r="G848" s="238"/>
      <c r="H848" s="247"/>
      <c r="I848" s="238"/>
      <c r="J848" s="247"/>
      <c r="K848" s="247"/>
      <c r="L848" s="247"/>
      <c r="M848" s="238"/>
      <c r="N848" s="238"/>
      <c r="O848" s="251"/>
      <c r="P848" s="247"/>
      <c r="Q848" s="247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>
      <c r="A849" s="247"/>
      <c r="B849" s="247"/>
      <c r="C849" s="247"/>
      <c r="D849" s="238"/>
      <c r="E849" s="254"/>
      <c r="F849" s="255"/>
      <c r="G849" s="238"/>
      <c r="H849" s="247"/>
      <c r="I849" s="238"/>
      <c r="J849" s="247"/>
      <c r="K849" s="247"/>
      <c r="L849" s="247"/>
      <c r="M849" s="238"/>
      <c r="N849" s="238"/>
      <c r="O849" s="251"/>
      <c r="P849" s="247"/>
      <c r="Q849" s="247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>
      <c r="A850" s="247"/>
      <c r="B850" s="247"/>
      <c r="C850" s="247"/>
      <c r="D850" s="238"/>
      <c r="E850" s="254"/>
      <c r="F850" s="255"/>
      <c r="G850" s="238"/>
      <c r="H850" s="247"/>
      <c r="I850" s="238"/>
      <c r="J850" s="247"/>
      <c r="K850" s="247"/>
      <c r="L850" s="247"/>
      <c r="M850" s="238"/>
      <c r="N850" s="238"/>
      <c r="O850" s="251"/>
      <c r="P850" s="247"/>
      <c r="Q850" s="247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>
      <c r="A851" s="247"/>
      <c r="B851" s="247"/>
      <c r="C851" s="247"/>
      <c r="D851" s="238"/>
      <c r="E851" s="254"/>
      <c r="F851" s="255"/>
      <c r="G851" s="238"/>
      <c r="H851" s="247"/>
      <c r="I851" s="238"/>
      <c r="J851" s="247"/>
      <c r="K851" s="247"/>
      <c r="L851" s="247"/>
      <c r="M851" s="238"/>
      <c r="N851" s="238"/>
      <c r="O851" s="251"/>
      <c r="P851" s="247"/>
      <c r="Q851" s="247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>
      <c r="A852" s="247"/>
      <c r="B852" s="247"/>
      <c r="C852" s="247"/>
      <c r="D852" s="238"/>
      <c r="E852" s="254"/>
      <c r="F852" s="255"/>
      <c r="G852" s="238"/>
      <c r="H852" s="247"/>
      <c r="I852" s="238"/>
      <c r="J852" s="247"/>
      <c r="K852" s="247"/>
      <c r="L852" s="247"/>
      <c r="M852" s="238"/>
      <c r="N852" s="238"/>
      <c r="O852" s="251"/>
      <c r="P852" s="247"/>
      <c r="Q852" s="247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>
      <c r="A853" s="247"/>
      <c r="B853" s="247"/>
      <c r="C853" s="247"/>
      <c r="D853" s="238"/>
      <c r="E853" s="254"/>
      <c r="F853" s="255"/>
      <c r="G853" s="238"/>
      <c r="H853" s="247"/>
      <c r="I853" s="238"/>
      <c r="J853" s="247"/>
      <c r="K853" s="247"/>
      <c r="L853" s="247"/>
      <c r="M853" s="238"/>
      <c r="N853" s="238"/>
      <c r="O853" s="251"/>
      <c r="P853" s="247"/>
      <c r="Q853" s="247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>
      <c r="A854" s="247"/>
      <c r="B854" s="247"/>
      <c r="C854" s="247"/>
      <c r="D854" s="238"/>
      <c r="E854" s="254"/>
      <c r="F854" s="255"/>
      <c r="G854" s="238"/>
      <c r="H854" s="247"/>
      <c r="I854" s="238"/>
      <c r="J854" s="247"/>
      <c r="K854" s="247"/>
      <c r="L854" s="247"/>
      <c r="M854" s="238"/>
      <c r="N854" s="238"/>
      <c r="O854" s="251"/>
      <c r="P854" s="247"/>
      <c r="Q854" s="247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>
      <c r="A855" s="247"/>
      <c r="B855" s="247"/>
      <c r="C855" s="247"/>
      <c r="D855" s="238"/>
      <c r="E855" s="254"/>
      <c r="F855" s="255"/>
      <c r="G855" s="238"/>
      <c r="H855" s="247"/>
      <c r="I855" s="238"/>
      <c r="J855" s="247"/>
      <c r="K855" s="247"/>
      <c r="L855" s="247"/>
      <c r="M855" s="238"/>
      <c r="N855" s="238"/>
      <c r="O855" s="251"/>
      <c r="P855" s="247"/>
      <c r="Q855" s="247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>
      <c r="A856" s="247"/>
      <c r="B856" s="247"/>
      <c r="C856" s="247"/>
      <c r="D856" s="238"/>
      <c r="E856" s="254"/>
      <c r="F856" s="255"/>
      <c r="G856" s="238"/>
      <c r="H856" s="247"/>
      <c r="I856" s="238"/>
      <c r="J856" s="247"/>
      <c r="K856" s="247"/>
      <c r="L856" s="247"/>
      <c r="M856" s="238"/>
      <c r="N856" s="238"/>
      <c r="O856" s="251"/>
      <c r="P856" s="247"/>
      <c r="Q856" s="247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>
      <c r="A857" s="247"/>
      <c r="B857" s="247"/>
      <c r="C857" s="247"/>
      <c r="D857" s="238"/>
      <c r="E857" s="254"/>
      <c r="F857" s="255"/>
      <c r="G857" s="238"/>
      <c r="H857" s="247"/>
      <c r="I857" s="238"/>
      <c r="J857" s="247"/>
      <c r="K857" s="247"/>
      <c r="L857" s="247"/>
      <c r="M857" s="238"/>
      <c r="N857" s="238"/>
      <c r="O857" s="251"/>
      <c r="P857" s="247"/>
      <c r="Q857" s="247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>
      <c r="A858" s="247"/>
      <c r="B858" s="247"/>
      <c r="C858" s="247"/>
      <c r="D858" s="238"/>
      <c r="E858" s="254"/>
      <c r="F858" s="255"/>
      <c r="G858" s="238"/>
      <c r="H858" s="247"/>
      <c r="I858" s="238"/>
      <c r="J858" s="247"/>
      <c r="K858" s="247"/>
      <c r="L858" s="247"/>
      <c r="M858" s="238"/>
      <c r="N858" s="238"/>
      <c r="O858" s="251"/>
      <c r="P858" s="247"/>
      <c r="Q858" s="247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>
      <c r="A859" s="247"/>
      <c r="B859" s="247"/>
      <c r="C859" s="247"/>
      <c r="D859" s="238"/>
      <c r="E859" s="254"/>
      <c r="F859" s="255"/>
      <c r="G859" s="238"/>
      <c r="H859" s="247"/>
      <c r="I859" s="238"/>
      <c r="J859" s="247"/>
      <c r="K859" s="247"/>
      <c r="L859" s="247"/>
      <c r="M859" s="238"/>
      <c r="N859" s="238"/>
      <c r="O859" s="251"/>
      <c r="P859" s="247"/>
      <c r="Q859" s="247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>
      <c r="A860" s="247"/>
      <c r="B860" s="247"/>
      <c r="C860" s="247"/>
      <c r="D860" s="238"/>
      <c r="E860" s="254"/>
      <c r="F860" s="255"/>
      <c r="G860" s="238"/>
      <c r="H860" s="247"/>
      <c r="I860" s="238"/>
      <c r="J860" s="247"/>
      <c r="K860" s="247"/>
      <c r="L860" s="247"/>
      <c r="M860" s="238"/>
      <c r="N860" s="238"/>
      <c r="O860" s="251"/>
      <c r="P860" s="247"/>
      <c r="Q860" s="247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>
      <c r="A861" s="247"/>
      <c r="B861" s="247"/>
      <c r="C861" s="247"/>
      <c r="D861" s="238"/>
      <c r="E861" s="254"/>
      <c r="F861" s="255"/>
      <c r="G861" s="238"/>
      <c r="H861" s="247"/>
      <c r="I861" s="238"/>
      <c r="J861" s="247"/>
      <c r="K861" s="247"/>
      <c r="L861" s="247"/>
      <c r="M861" s="238"/>
      <c r="N861" s="238"/>
      <c r="O861" s="251"/>
      <c r="P861" s="247"/>
      <c r="Q861" s="247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>
      <c r="A862" s="247"/>
      <c r="B862" s="247"/>
      <c r="C862" s="247"/>
      <c r="D862" s="238"/>
      <c r="E862" s="254"/>
      <c r="F862" s="255"/>
      <c r="G862" s="238"/>
      <c r="H862" s="247"/>
      <c r="I862" s="238"/>
      <c r="J862" s="247"/>
      <c r="K862" s="247"/>
      <c r="L862" s="247"/>
      <c r="M862" s="238"/>
      <c r="N862" s="238"/>
      <c r="O862" s="251"/>
      <c r="P862" s="247"/>
      <c r="Q862" s="247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>
      <c r="A863" s="247"/>
      <c r="B863" s="247"/>
      <c r="C863" s="247"/>
      <c r="D863" s="238"/>
      <c r="E863" s="254"/>
      <c r="F863" s="255"/>
      <c r="G863" s="238"/>
      <c r="H863" s="247"/>
      <c r="I863" s="238"/>
      <c r="J863" s="247"/>
      <c r="K863" s="247"/>
      <c r="L863" s="247"/>
      <c r="M863" s="238"/>
      <c r="N863" s="238"/>
      <c r="O863" s="251"/>
      <c r="P863" s="247"/>
      <c r="Q863" s="247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>
      <c r="A864" s="247"/>
      <c r="B864" s="247"/>
      <c r="C864" s="247"/>
      <c r="D864" s="238"/>
      <c r="E864" s="254"/>
      <c r="F864" s="255"/>
      <c r="G864" s="238"/>
      <c r="H864" s="247"/>
      <c r="I864" s="238"/>
      <c r="J864" s="247"/>
      <c r="K864" s="247"/>
      <c r="L864" s="247"/>
      <c r="M864" s="238"/>
      <c r="N864" s="238"/>
      <c r="O864" s="251"/>
      <c r="P864" s="247"/>
      <c r="Q864" s="247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>
      <c r="A865" s="247"/>
      <c r="B865" s="247"/>
      <c r="C865" s="247"/>
      <c r="D865" s="238"/>
      <c r="E865" s="254"/>
      <c r="F865" s="255"/>
      <c r="G865" s="238"/>
      <c r="H865" s="247"/>
      <c r="I865" s="238"/>
      <c r="J865" s="247"/>
      <c r="K865" s="247"/>
      <c r="L865" s="247"/>
      <c r="M865" s="238"/>
      <c r="N865" s="238"/>
      <c r="O865" s="251"/>
      <c r="P865" s="247"/>
      <c r="Q865" s="247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>
      <c r="A866" s="247"/>
      <c r="B866" s="247"/>
      <c r="C866" s="247"/>
      <c r="D866" s="238"/>
      <c r="E866" s="254"/>
      <c r="F866" s="255"/>
      <c r="G866" s="238"/>
      <c r="H866" s="247"/>
      <c r="I866" s="238"/>
      <c r="J866" s="247"/>
      <c r="K866" s="247"/>
      <c r="L866" s="247"/>
      <c r="M866" s="238"/>
      <c r="N866" s="238"/>
      <c r="O866" s="251"/>
      <c r="P866" s="247"/>
      <c r="Q866" s="247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>
      <c r="A867" s="247"/>
      <c r="B867" s="247"/>
      <c r="C867" s="247"/>
      <c r="D867" s="238"/>
      <c r="E867" s="254"/>
      <c r="F867" s="255"/>
      <c r="G867" s="238"/>
      <c r="H867" s="247"/>
      <c r="I867" s="238"/>
      <c r="J867" s="247"/>
      <c r="K867" s="247"/>
      <c r="L867" s="247"/>
      <c r="M867" s="238"/>
      <c r="N867" s="238"/>
      <c r="O867" s="251"/>
      <c r="P867" s="247"/>
      <c r="Q867" s="247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>
      <c r="A868" s="247"/>
      <c r="B868" s="247"/>
      <c r="C868" s="247"/>
      <c r="D868" s="238"/>
      <c r="E868" s="254"/>
      <c r="F868" s="255"/>
      <c r="G868" s="238"/>
      <c r="H868" s="247"/>
      <c r="I868" s="238"/>
      <c r="J868" s="247"/>
      <c r="K868" s="247"/>
      <c r="L868" s="247"/>
      <c r="M868" s="238"/>
      <c r="N868" s="238"/>
      <c r="O868" s="251"/>
      <c r="P868" s="247"/>
      <c r="Q868" s="247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>
      <c r="A869" s="247"/>
      <c r="B869" s="247"/>
      <c r="C869" s="247"/>
      <c r="D869" s="238"/>
      <c r="E869" s="254"/>
      <c r="F869" s="255"/>
      <c r="G869" s="238"/>
      <c r="H869" s="247"/>
      <c r="I869" s="238"/>
      <c r="J869" s="247"/>
      <c r="K869" s="247"/>
      <c r="L869" s="247"/>
      <c r="M869" s="238"/>
      <c r="N869" s="238"/>
      <c r="O869" s="251"/>
      <c r="P869" s="247"/>
      <c r="Q869" s="247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>
      <c r="A870" s="247"/>
      <c r="B870" s="247"/>
      <c r="C870" s="247"/>
      <c r="D870" s="238"/>
      <c r="E870" s="254"/>
      <c r="F870" s="255"/>
      <c r="G870" s="238"/>
      <c r="H870" s="247"/>
      <c r="I870" s="238"/>
      <c r="J870" s="247"/>
      <c r="K870" s="247"/>
      <c r="L870" s="247"/>
      <c r="M870" s="238"/>
      <c r="N870" s="238"/>
      <c r="O870" s="251"/>
      <c r="P870" s="247"/>
      <c r="Q870" s="247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>
      <c r="A871" s="247"/>
      <c r="B871" s="247"/>
      <c r="C871" s="247"/>
      <c r="D871" s="238"/>
      <c r="E871" s="254"/>
      <c r="F871" s="255"/>
      <c r="G871" s="238"/>
      <c r="H871" s="247"/>
      <c r="I871" s="238"/>
      <c r="J871" s="247"/>
      <c r="K871" s="247"/>
      <c r="L871" s="247"/>
      <c r="M871" s="238"/>
      <c r="N871" s="238"/>
      <c r="O871" s="251"/>
      <c r="P871" s="247"/>
      <c r="Q871" s="247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>
      <c r="A872" s="247"/>
      <c r="B872" s="247"/>
      <c r="C872" s="247"/>
      <c r="D872" s="238"/>
      <c r="E872" s="254"/>
      <c r="F872" s="255"/>
      <c r="G872" s="238"/>
      <c r="H872" s="247"/>
      <c r="I872" s="238"/>
      <c r="J872" s="247"/>
      <c r="K872" s="247"/>
      <c r="L872" s="247"/>
      <c r="M872" s="238"/>
      <c r="N872" s="238"/>
      <c r="O872" s="251"/>
      <c r="P872" s="247"/>
      <c r="Q872" s="247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>
      <c r="A873" s="247"/>
      <c r="B873" s="247"/>
      <c r="C873" s="247"/>
      <c r="D873" s="238"/>
      <c r="E873" s="254"/>
      <c r="F873" s="255"/>
      <c r="G873" s="238"/>
      <c r="H873" s="247"/>
      <c r="I873" s="238"/>
      <c r="J873" s="247"/>
      <c r="K873" s="247"/>
      <c r="L873" s="247"/>
      <c r="M873" s="238"/>
      <c r="N873" s="238"/>
      <c r="O873" s="251"/>
      <c r="P873" s="247"/>
      <c r="Q873" s="247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>
      <c r="A874" s="247"/>
      <c r="B874" s="247"/>
      <c r="C874" s="247"/>
      <c r="D874" s="238"/>
      <c r="E874" s="254"/>
      <c r="F874" s="255"/>
      <c r="G874" s="238"/>
      <c r="H874" s="247"/>
      <c r="I874" s="238"/>
      <c r="J874" s="247"/>
      <c r="K874" s="247"/>
      <c r="L874" s="247"/>
      <c r="M874" s="238"/>
      <c r="N874" s="238"/>
      <c r="O874" s="251"/>
      <c r="P874" s="247"/>
      <c r="Q874" s="247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>
      <c r="A875" s="247"/>
      <c r="B875" s="247"/>
      <c r="C875" s="247"/>
      <c r="D875" s="238"/>
      <c r="E875" s="254"/>
      <c r="F875" s="255"/>
      <c r="G875" s="238"/>
      <c r="H875" s="247"/>
      <c r="I875" s="238"/>
      <c r="J875" s="247"/>
      <c r="K875" s="247"/>
      <c r="L875" s="247"/>
      <c r="M875" s="238"/>
      <c r="N875" s="238"/>
      <c r="O875" s="251"/>
      <c r="P875" s="247"/>
      <c r="Q875" s="247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>
      <c r="A876" s="247"/>
      <c r="B876" s="247"/>
      <c r="C876" s="247"/>
      <c r="D876" s="238"/>
      <c r="E876" s="254"/>
      <c r="F876" s="255"/>
      <c r="G876" s="238"/>
      <c r="H876" s="247"/>
      <c r="I876" s="238"/>
      <c r="J876" s="247"/>
      <c r="K876" s="247"/>
      <c r="L876" s="247"/>
      <c r="M876" s="238"/>
      <c r="N876" s="238"/>
      <c r="O876" s="251"/>
      <c r="P876" s="247"/>
      <c r="Q876" s="247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>
      <c r="A877" s="247"/>
      <c r="B877" s="247"/>
      <c r="C877" s="247"/>
      <c r="D877" s="238"/>
      <c r="E877" s="254"/>
      <c r="F877" s="255"/>
      <c r="G877" s="238"/>
      <c r="H877" s="247"/>
      <c r="I877" s="238"/>
      <c r="J877" s="247"/>
      <c r="K877" s="247"/>
      <c r="L877" s="247"/>
      <c r="M877" s="238"/>
      <c r="N877" s="238"/>
      <c r="O877" s="251"/>
      <c r="P877" s="247"/>
      <c r="Q877" s="247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>
      <c r="A878" s="247"/>
      <c r="B878" s="247"/>
      <c r="C878" s="247"/>
      <c r="D878" s="238"/>
      <c r="E878" s="254"/>
      <c r="F878" s="255"/>
      <c r="G878" s="238"/>
      <c r="H878" s="247"/>
      <c r="I878" s="238"/>
      <c r="J878" s="247"/>
      <c r="K878" s="247"/>
      <c r="L878" s="247"/>
      <c r="M878" s="238"/>
      <c r="N878" s="238"/>
      <c r="O878" s="251"/>
      <c r="P878" s="247"/>
      <c r="Q878" s="247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>
      <c r="A879" s="247"/>
      <c r="B879" s="247"/>
      <c r="C879" s="247"/>
      <c r="D879" s="238"/>
      <c r="E879" s="254"/>
      <c r="F879" s="255"/>
      <c r="G879" s="238"/>
      <c r="H879" s="247"/>
      <c r="I879" s="238"/>
      <c r="J879" s="247"/>
      <c r="K879" s="247"/>
      <c r="L879" s="247"/>
      <c r="M879" s="238"/>
      <c r="N879" s="238"/>
      <c r="O879" s="251"/>
      <c r="P879" s="247"/>
      <c r="Q879" s="247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>
      <c r="A880" s="247"/>
      <c r="B880" s="247"/>
      <c r="C880" s="247"/>
      <c r="D880" s="238"/>
      <c r="E880" s="254"/>
      <c r="F880" s="255"/>
      <c r="G880" s="238"/>
      <c r="H880" s="247"/>
      <c r="I880" s="238"/>
      <c r="J880" s="247"/>
      <c r="K880" s="247"/>
      <c r="L880" s="247"/>
      <c r="M880" s="238"/>
      <c r="N880" s="238"/>
      <c r="O880" s="251"/>
      <c r="P880" s="247"/>
      <c r="Q880" s="247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>
      <c r="A881" s="247"/>
      <c r="B881" s="247"/>
      <c r="C881" s="247"/>
      <c r="D881" s="238"/>
      <c r="E881" s="254"/>
      <c r="F881" s="255"/>
      <c r="G881" s="238"/>
      <c r="H881" s="247"/>
      <c r="I881" s="238"/>
      <c r="J881" s="247"/>
      <c r="K881" s="247"/>
      <c r="L881" s="247"/>
      <c r="M881" s="238"/>
      <c r="N881" s="238"/>
      <c r="O881" s="251"/>
      <c r="P881" s="247"/>
      <c r="Q881" s="247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>
      <c r="A882" s="247"/>
      <c r="B882" s="247"/>
      <c r="C882" s="247"/>
      <c r="D882" s="238"/>
      <c r="E882" s="254"/>
      <c r="F882" s="255"/>
      <c r="G882" s="238"/>
      <c r="H882" s="247"/>
      <c r="I882" s="238"/>
      <c r="J882" s="247"/>
      <c r="K882" s="247"/>
      <c r="L882" s="247"/>
      <c r="M882" s="238"/>
      <c r="N882" s="238"/>
      <c r="O882" s="251"/>
      <c r="P882" s="247"/>
      <c r="Q882" s="247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>
      <c r="A883" s="247"/>
      <c r="B883" s="247"/>
      <c r="C883" s="247"/>
      <c r="D883" s="238"/>
      <c r="E883" s="254"/>
      <c r="F883" s="255"/>
      <c r="G883" s="238"/>
      <c r="H883" s="247"/>
      <c r="I883" s="238"/>
      <c r="J883" s="247"/>
      <c r="K883" s="247"/>
      <c r="L883" s="247"/>
      <c r="M883" s="238"/>
      <c r="N883" s="238"/>
      <c r="O883" s="251"/>
      <c r="P883" s="247"/>
      <c r="Q883" s="247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>
      <c r="A884" s="247"/>
      <c r="B884" s="247"/>
      <c r="C884" s="247"/>
      <c r="D884" s="238"/>
      <c r="E884" s="254"/>
      <c r="F884" s="255"/>
      <c r="G884" s="238"/>
      <c r="H884" s="247"/>
      <c r="I884" s="238"/>
      <c r="J884" s="247"/>
      <c r="K884" s="247"/>
      <c r="L884" s="247"/>
      <c r="M884" s="238"/>
      <c r="N884" s="238"/>
      <c r="O884" s="251"/>
      <c r="P884" s="247"/>
      <c r="Q884" s="247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>
      <c r="A885" s="247"/>
      <c r="B885" s="247"/>
      <c r="C885" s="247"/>
      <c r="D885" s="238"/>
      <c r="E885" s="254"/>
      <c r="F885" s="255"/>
      <c r="G885" s="238"/>
      <c r="H885" s="247"/>
      <c r="I885" s="238"/>
      <c r="J885" s="247"/>
      <c r="K885" s="247"/>
      <c r="L885" s="247"/>
      <c r="M885" s="238"/>
      <c r="N885" s="238"/>
      <c r="O885" s="251"/>
      <c r="P885" s="247"/>
      <c r="Q885" s="247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>
      <c r="A886" s="247"/>
      <c r="B886" s="247"/>
      <c r="C886" s="247"/>
      <c r="D886" s="238"/>
      <c r="E886" s="254"/>
      <c r="F886" s="255"/>
      <c r="G886" s="238"/>
      <c r="H886" s="247"/>
      <c r="I886" s="238"/>
      <c r="J886" s="247"/>
      <c r="K886" s="247"/>
      <c r="L886" s="247"/>
      <c r="M886" s="238"/>
      <c r="N886" s="238"/>
      <c r="O886" s="251"/>
      <c r="P886" s="247"/>
      <c r="Q886" s="247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>
      <c r="A887" s="247"/>
      <c r="B887" s="247"/>
      <c r="C887" s="247"/>
      <c r="D887" s="238"/>
      <c r="E887" s="254"/>
      <c r="F887" s="255"/>
      <c r="G887" s="238"/>
      <c r="H887" s="247"/>
      <c r="I887" s="238"/>
      <c r="J887" s="247"/>
      <c r="K887" s="247"/>
      <c r="L887" s="247"/>
      <c r="M887" s="238"/>
      <c r="N887" s="238"/>
      <c r="O887" s="251"/>
      <c r="P887" s="247"/>
      <c r="Q887" s="247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>
      <c r="A888" s="247"/>
      <c r="B888" s="247"/>
      <c r="C888" s="247"/>
      <c r="D888" s="238"/>
      <c r="E888" s="254"/>
      <c r="F888" s="255"/>
      <c r="G888" s="238"/>
      <c r="H888" s="247"/>
      <c r="I888" s="238"/>
      <c r="J888" s="247"/>
      <c r="K888" s="247"/>
      <c r="L888" s="247"/>
      <c r="M888" s="238"/>
      <c r="N888" s="238"/>
      <c r="O888" s="251"/>
      <c r="P888" s="247"/>
      <c r="Q888" s="247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>
      <c r="A889" s="247"/>
      <c r="B889" s="247"/>
      <c r="C889" s="247"/>
      <c r="D889" s="238"/>
      <c r="E889" s="254"/>
      <c r="F889" s="255"/>
      <c r="G889" s="238"/>
      <c r="H889" s="247"/>
      <c r="I889" s="238"/>
      <c r="J889" s="247"/>
      <c r="K889" s="247"/>
      <c r="L889" s="247"/>
      <c r="M889" s="238"/>
      <c r="N889" s="238"/>
      <c r="O889" s="251"/>
      <c r="P889" s="247"/>
      <c r="Q889" s="247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>
      <c r="A890" s="247"/>
      <c r="B890" s="247"/>
      <c r="C890" s="247"/>
      <c r="D890" s="238"/>
      <c r="E890" s="254"/>
      <c r="F890" s="255"/>
      <c r="G890" s="238"/>
      <c r="H890" s="247"/>
      <c r="I890" s="238"/>
      <c r="J890" s="247"/>
      <c r="K890" s="247"/>
      <c r="L890" s="247"/>
      <c r="M890" s="238"/>
      <c r="N890" s="238"/>
      <c r="O890" s="251"/>
      <c r="P890" s="247"/>
      <c r="Q890" s="247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>
      <c r="A891" s="247"/>
      <c r="B891" s="247"/>
      <c r="C891" s="247"/>
      <c r="D891" s="238"/>
      <c r="E891" s="254"/>
      <c r="F891" s="255"/>
      <c r="G891" s="238"/>
      <c r="H891" s="247"/>
      <c r="I891" s="238"/>
      <c r="J891" s="247"/>
      <c r="K891" s="247"/>
      <c r="L891" s="247"/>
      <c r="M891" s="238"/>
      <c r="N891" s="238"/>
      <c r="O891" s="251"/>
      <c r="P891" s="247"/>
      <c r="Q891" s="247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>
      <c r="A892" s="247"/>
      <c r="B892" s="247"/>
      <c r="C892" s="247"/>
      <c r="D892" s="238"/>
      <c r="E892" s="254"/>
      <c r="F892" s="255"/>
      <c r="G892" s="238"/>
      <c r="H892" s="247"/>
      <c r="I892" s="238"/>
      <c r="J892" s="247"/>
      <c r="K892" s="247"/>
      <c r="L892" s="247"/>
      <c r="M892" s="238"/>
      <c r="N892" s="238"/>
      <c r="O892" s="251"/>
      <c r="P892" s="247"/>
      <c r="Q892" s="247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>
      <c r="A893" s="247"/>
      <c r="B893" s="247"/>
      <c r="C893" s="247"/>
      <c r="D893" s="238"/>
      <c r="E893" s="254"/>
      <c r="F893" s="255"/>
      <c r="G893" s="238"/>
      <c r="H893" s="247"/>
      <c r="I893" s="238"/>
      <c r="J893" s="247"/>
      <c r="K893" s="247"/>
      <c r="L893" s="247"/>
      <c r="M893" s="238"/>
      <c r="N893" s="238"/>
      <c r="O893" s="251"/>
      <c r="P893" s="247"/>
      <c r="Q893" s="247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>
      <c r="A894" s="247"/>
      <c r="B894" s="247"/>
      <c r="C894" s="247"/>
      <c r="D894" s="238"/>
      <c r="E894" s="254"/>
      <c r="F894" s="255"/>
      <c r="G894" s="238"/>
      <c r="H894" s="247"/>
      <c r="I894" s="238"/>
      <c r="J894" s="247"/>
      <c r="K894" s="247"/>
      <c r="L894" s="247"/>
      <c r="M894" s="238"/>
      <c r="N894" s="238"/>
      <c r="O894" s="251"/>
      <c r="P894" s="247"/>
      <c r="Q894" s="247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>
      <c r="A895" s="247"/>
      <c r="B895" s="247"/>
      <c r="C895" s="247"/>
      <c r="D895" s="238"/>
      <c r="E895" s="254"/>
      <c r="F895" s="255"/>
      <c r="G895" s="238"/>
      <c r="H895" s="247"/>
      <c r="I895" s="238"/>
      <c r="J895" s="247"/>
      <c r="K895" s="247"/>
      <c r="L895" s="247"/>
      <c r="M895" s="238"/>
      <c r="N895" s="238"/>
      <c r="O895" s="251"/>
      <c r="P895" s="247"/>
      <c r="Q895" s="247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>
      <c r="A896" s="247"/>
      <c r="B896" s="247"/>
      <c r="C896" s="247"/>
      <c r="D896" s="238"/>
      <c r="E896" s="254"/>
      <c r="F896" s="255"/>
      <c r="G896" s="238"/>
      <c r="H896" s="247"/>
      <c r="I896" s="238"/>
      <c r="J896" s="247"/>
      <c r="K896" s="247"/>
      <c r="L896" s="247"/>
      <c r="M896" s="238"/>
      <c r="N896" s="238"/>
      <c r="O896" s="251"/>
      <c r="P896" s="247"/>
      <c r="Q896" s="247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>
      <c r="A897" s="247"/>
      <c r="B897" s="247"/>
      <c r="C897" s="247"/>
      <c r="D897" s="238"/>
      <c r="E897" s="254"/>
      <c r="F897" s="255"/>
      <c r="G897" s="238"/>
      <c r="H897" s="247"/>
      <c r="I897" s="238"/>
      <c r="J897" s="247"/>
      <c r="K897" s="247"/>
      <c r="L897" s="247"/>
      <c r="M897" s="238"/>
      <c r="N897" s="238"/>
      <c r="O897" s="251"/>
      <c r="P897" s="247"/>
      <c r="Q897" s="247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>
      <c r="A898" s="247"/>
      <c r="B898" s="247"/>
      <c r="C898" s="247"/>
      <c r="D898" s="238"/>
      <c r="E898" s="254"/>
      <c r="F898" s="255"/>
      <c r="G898" s="238"/>
      <c r="H898" s="247"/>
      <c r="I898" s="238"/>
      <c r="J898" s="247"/>
      <c r="K898" s="247"/>
      <c r="L898" s="247"/>
      <c r="M898" s="238"/>
      <c r="N898" s="238"/>
      <c r="O898" s="251"/>
      <c r="P898" s="247"/>
      <c r="Q898" s="247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>
      <c r="A899" s="247"/>
      <c r="B899" s="247"/>
      <c r="C899" s="247"/>
      <c r="D899" s="238"/>
      <c r="E899" s="254"/>
      <c r="F899" s="255"/>
      <c r="G899" s="238"/>
      <c r="H899" s="247"/>
      <c r="I899" s="238"/>
      <c r="J899" s="247"/>
      <c r="K899" s="247"/>
      <c r="L899" s="247"/>
      <c r="M899" s="238"/>
      <c r="N899" s="238"/>
      <c r="O899" s="251"/>
      <c r="P899" s="247"/>
      <c r="Q899" s="247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>
      <c r="A900" s="247"/>
      <c r="B900" s="247"/>
      <c r="C900" s="247"/>
      <c r="D900" s="238"/>
      <c r="E900" s="254"/>
      <c r="F900" s="255"/>
      <c r="G900" s="238"/>
      <c r="H900" s="247"/>
      <c r="I900" s="238"/>
      <c r="J900" s="247"/>
      <c r="K900" s="247"/>
      <c r="L900" s="247"/>
      <c r="M900" s="238"/>
      <c r="N900" s="238"/>
      <c r="O900" s="251"/>
      <c r="P900" s="247"/>
      <c r="Q900" s="247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>
      <c r="A901" s="247"/>
      <c r="B901" s="247"/>
      <c r="C901" s="247"/>
      <c r="D901" s="238"/>
      <c r="E901" s="254"/>
      <c r="F901" s="255"/>
      <c r="G901" s="238"/>
      <c r="H901" s="247"/>
      <c r="I901" s="238"/>
      <c r="J901" s="247"/>
      <c r="K901" s="247"/>
      <c r="L901" s="247"/>
      <c r="M901" s="238"/>
      <c r="N901" s="238"/>
      <c r="O901" s="251"/>
      <c r="P901" s="247"/>
      <c r="Q901" s="247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>
      <c r="A902" s="247"/>
      <c r="B902" s="247"/>
      <c r="C902" s="247"/>
      <c r="D902" s="238"/>
      <c r="E902" s="254"/>
      <c r="F902" s="255"/>
      <c r="G902" s="238"/>
      <c r="H902" s="247"/>
      <c r="I902" s="238"/>
      <c r="J902" s="247"/>
      <c r="K902" s="247"/>
      <c r="L902" s="247"/>
      <c r="M902" s="238"/>
      <c r="N902" s="238"/>
      <c r="O902" s="251"/>
      <c r="P902" s="247"/>
      <c r="Q902" s="247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>
      <c r="A903" s="247"/>
      <c r="B903" s="247"/>
      <c r="C903" s="247"/>
      <c r="D903" s="238"/>
      <c r="E903" s="254"/>
      <c r="F903" s="255"/>
      <c r="G903" s="238"/>
      <c r="H903" s="247"/>
      <c r="I903" s="238"/>
      <c r="J903" s="247"/>
      <c r="K903" s="247"/>
      <c r="L903" s="247"/>
      <c r="M903" s="238"/>
      <c r="N903" s="238"/>
      <c r="O903" s="251"/>
      <c r="P903" s="247"/>
      <c r="Q903" s="247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>
      <c r="A904" s="247"/>
      <c r="B904" s="247"/>
      <c r="C904" s="247"/>
      <c r="D904" s="238"/>
      <c r="E904" s="254"/>
      <c r="F904" s="255"/>
      <c r="G904" s="238"/>
      <c r="H904" s="247"/>
      <c r="I904" s="238"/>
      <c r="J904" s="247"/>
      <c r="K904" s="247"/>
      <c r="L904" s="247"/>
      <c r="M904" s="238"/>
      <c r="N904" s="238"/>
      <c r="O904" s="251"/>
      <c r="P904" s="247"/>
      <c r="Q904" s="247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>
      <c r="A905" s="247"/>
      <c r="B905" s="247"/>
      <c r="C905" s="247"/>
      <c r="D905" s="238"/>
      <c r="E905" s="254"/>
      <c r="F905" s="255"/>
      <c r="G905" s="238"/>
      <c r="H905" s="247"/>
      <c r="I905" s="238"/>
      <c r="J905" s="247"/>
      <c r="K905" s="247"/>
      <c r="L905" s="247"/>
      <c r="M905" s="238"/>
      <c r="N905" s="238"/>
      <c r="O905" s="251"/>
      <c r="P905" s="247"/>
      <c r="Q905" s="247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>
      <c r="A906" s="247"/>
      <c r="B906" s="247"/>
      <c r="C906" s="247"/>
      <c r="D906" s="238"/>
      <c r="E906" s="254"/>
      <c r="F906" s="255"/>
      <c r="G906" s="238"/>
      <c r="H906" s="247"/>
      <c r="I906" s="238"/>
      <c r="J906" s="247"/>
      <c r="K906" s="247"/>
      <c r="L906" s="247"/>
      <c r="M906" s="238"/>
      <c r="N906" s="238"/>
      <c r="O906" s="251"/>
      <c r="P906" s="247"/>
      <c r="Q906" s="247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>
      <c r="A907" s="247"/>
      <c r="B907" s="247"/>
      <c r="C907" s="247"/>
      <c r="D907" s="238"/>
      <c r="E907" s="254"/>
      <c r="F907" s="255"/>
      <c r="G907" s="238"/>
      <c r="H907" s="247"/>
      <c r="I907" s="238"/>
      <c r="J907" s="247"/>
      <c r="K907" s="247"/>
      <c r="L907" s="247"/>
      <c r="M907" s="238"/>
      <c r="N907" s="238"/>
      <c r="O907" s="251"/>
      <c r="P907" s="247"/>
      <c r="Q907" s="247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>
      <c r="A908" s="247"/>
      <c r="B908" s="247"/>
      <c r="C908" s="247"/>
      <c r="D908" s="238"/>
      <c r="E908" s="254"/>
      <c r="F908" s="255"/>
      <c r="G908" s="238"/>
      <c r="H908" s="247"/>
      <c r="I908" s="238"/>
      <c r="J908" s="247"/>
      <c r="K908" s="247"/>
      <c r="L908" s="247"/>
      <c r="M908" s="238"/>
      <c r="N908" s="238"/>
      <c r="O908" s="251"/>
      <c r="P908" s="247"/>
      <c r="Q908" s="247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>
      <c r="A909" s="247"/>
      <c r="B909" s="247"/>
      <c r="C909" s="247"/>
      <c r="D909" s="238"/>
      <c r="E909" s="254"/>
      <c r="F909" s="255"/>
      <c r="G909" s="238"/>
      <c r="H909" s="247"/>
      <c r="I909" s="238"/>
      <c r="J909" s="247"/>
      <c r="K909" s="247"/>
      <c r="L909" s="247"/>
      <c r="M909" s="238"/>
      <c r="N909" s="238"/>
      <c r="O909" s="251"/>
      <c r="P909" s="247"/>
      <c r="Q909" s="247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>
      <c r="A910" s="247"/>
      <c r="B910" s="247"/>
      <c r="C910" s="247"/>
      <c r="D910" s="238"/>
      <c r="E910" s="254"/>
      <c r="F910" s="255"/>
      <c r="G910" s="238"/>
      <c r="H910" s="247"/>
      <c r="I910" s="238"/>
      <c r="J910" s="247"/>
      <c r="K910" s="247"/>
      <c r="L910" s="247"/>
      <c r="M910" s="238"/>
      <c r="N910" s="238"/>
      <c r="O910" s="251"/>
      <c r="P910" s="247"/>
      <c r="Q910" s="247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>
      <c r="A911" s="247"/>
      <c r="B911" s="247"/>
      <c r="C911" s="247"/>
      <c r="D911" s="238"/>
      <c r="E911" s="254"/>
      <c r="F911" s="255"/>
      <c r="G911" s="238"/>
      <c r="H911" s="247"/>
      <c r="I911" s="238"/>
      <c r="J911" s="247"/>
      <c r="K911" s="247"/>
      <c r="L911" s="247"/>
      <c r="M911" s="238"/>
      <c r="N911" s="238"/>
      <c r="O911" s="251"/>
      <c r="P911" s="247"/>
      <c r="Q911" s="247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>
      <c r="A912" s="247"/>
      <c r="B912" s="247"/>
      <c r="C912" s="247"/>
      <c r="D912" s="238"/>
      <c r="E912" s="254"/>
      <c r="F912" s="255"/>
      <c r="G912" s="238"/>
      <c r="H912" s="247"/>
      <c r="I912" s="238"/>
      <c r="J912" s="247"/>
      <c r="K912" s="247"/>
      <c r="L912" s="247"/>
      <c r="M912" s="238"/>
      <c r="N912" s="238"/>
      <c r="O912" s="251"/>
      <c r="P912" s="247"/>
      <c r="Q912" s="247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>
      <c r="A913" s="247"/>
      <c r="B913" s="247"/>
      <c r="C913" s="247"/>
      <c r="D913" s="238"/>
      <c r="E913" s="254"/>
      <c r="F913" s="255"/>
      <c r="G913" s="238"/>
      <c r="H913" s="247"/>
      <c r="I913" s="238"/>
      <c r="J913" s="247"/>
      <c r="K913" s="247"/>
      <c r="L913" s="247"/>
      <c r="M913" s="238"/>
      <c r="N913" s="238"/>
      <c r="O913" s="251"/>
      <c r="P913" s="247"/>
      <c r="Q913" s="247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>
      <c r="A914" s="247"/>
      <c r="B914" s="247"/>
      <c r="C914" s="247"/>
      <c r="D914" s="238"/>
      <c r="E914" s="254"/>
      <c r="F914" s="255"/>
      <c r="G914" s="238"/>
      <c r="H914" s="247"/>
      <c r="I914" s="238"/>
      <c r="J914" s="247"/>
      <c r="K914" s="247"/>
      <c r="L914" s="247"/>
      <c r="M914" s="238"/>
      <c r="N914" s="238"/>
      <c r="O914" s="251"/>
      <c r="P914" s="247"/>
      <c r="Q914" s="247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>
      <c r="A915" s="247"/>
      <c r="B915" s="247"/>
      <c r="C915" s="247"/>
      <c r="D915" s="238"/>
      <c r="E915" s="254"/>
      <c r="F915" s="255"/>
      <c r="G915" s="238"/>
      <c r="H915" s="247"/>
      <c r="I915" s="238"/>
      <c r="J915" s="247"/>
      <c r="K915" s="247"/>
      <c r="L915" s="247"/>
      <c r="M915" s="238"/>
      <c r="N915" s="238"/>
      <c r="O915" s="251"/>
      <c r="P915" s="247"/>
      <c r="Q915" s="247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>
      <c r="A916" s="247"/>
      <c r="B916" s="247"/>
      <c r="C916" s="247"/>
      <c r="D916" s="238"/>
      <c r="E916" s="254"/>
      <c r="F916" s="255"/>
      <c r="G916" s="238"/>
      <c r="H916" s="247"/>
      <c r="I916" s="238"/>
      <c r="J916" s="247"/>
      <c r="K916" s="247"/>
      <c r="L916" s="247"/>
      <c r="M916" s="238"/>
      <c r="N916" s="238"/>
      <c r="O916" s="251"/>
      <c r="P916" s="247"/>
      <c r="Q916" s="247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>
      <c r="A917" s="247"/>
      <c r="B917" s="247"/>
      <c r="C917" s="247"/>
      <c r="D917" s="238"/>
      <c r="E917" s="254"/>
      <c r="F917" s="255"/>
      <c r="G917" s="238"/>
      <c r="H917" s="247"/>
      <c r="I917" s="238"/>
      <c r="J917" s="247"/>
      <c r="K917" s="247"/>
      <c r="L917" s="247"/>
      <c r="M917" s="238"/>
      <c r="N917" s="238"/>
      <c r="O917" s="251"/>
      <c r="P917" s="247"/>
      <c r="Q917" s="247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>
      <c r="A918" s="247"/>
      <c r="B918" s="247"/>
      <c r="C918" s="247"/>
      <c r="D918" s="238"/>
      <c r="E918" s="254"/>
      <c r="F918" s="255"/>
      <c r="G918" s="238"/>
      <c r="H918" s="247"/>
      <c r="I918" s="238"/>
      <c r="J918" s="247"/>
      <c r="K918" s="247"/>
      <c r="L918" s="247"/>
      <c r="M918" s="238"/>
      <c r="N918" s="238"/>
      <c r="O918" s="251"/>
      <c r="P918" s="247"/>
      <c r="Q918" s="247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>
      <c r="A919" s="247"/>
      <c r="B919" s="247"/>
      <c r="C919" s="247"/>
      <c r="D919" s="238"/>
      <c r="E919" s="254"/>
      <c r="F919" s="255"/>
      <c r="G919" s="238"/>
      <c r="H919" s="247"/>
      <c r="I919" s="238"/>
      <c r="J919" s="247"/>
      <c r="K919" s="247"/>
      <c r="L919" s="247"/>
      <c r="M919" s="238"/>
      <c r="N919" s="238"/>
      <c r="O919" s="251"/>
      <c r="P919" s="247"/>
      <c r="Q919" s="247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>
      <c r="A920" s="247"/>
      <c r="B920" s="247"/>
      <c r="C920" s="247"/>
      <c r="D920" s="238"/>
      <c r="E920" s="254"/>
      <c r="F920" s="255"/>
      <c r="G920" s="238"/>
      <c r="H920" s="247"/>
      <c r="I920" s="238"/>
      <c r="J920" s="247"/>
      <c r="K920" s="247"/>
      <c r="L920" s="247"/>
      <c r="M920" s="238"/>
      <c r="N920" s="238"/>
      <c r="O920" s="251"/>
      <c r="P920" s="247"/>
      <c r="Q920" s="247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>
      <c r="A921" s="247"/>
      <c r="B921" s="247"/>
      <c r="C921" s="247"/>
      <c r="D921" s="238"/>
      <c r="E921" s="254"/>
      <c r="F921" s="255"/>
      <c r="G921" s="238"/>
      <c r="H921" s="247"/>
      <c r="I921" s="238"/>
      <c r="J921" s="247"/>
      <c r="K921" s="247"/>
      <c r="L921" s="247"/>
      <c r="M921" s="238"/>
      <c r="N921" s="238"/>
      <c r="O921" s="251"/>
      <c r="P921" s="247"/>
      <c r="Q921" s="247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>
      <c r="A922" s="247"/>
      <c r="B922" s="247"/>
      <c r="C922" s="247"/>
      <c r="D922" s="238"/>
      <c r="E922" s="254"/>
      <c r="F922" s="255"/>
      <c r="G922" s="238"/>
      <c r="H922" s="247"/>
      <c r="I922" s="238"/>
      <c r="J922" s="247"/>
      <c r="K922" s="247"/>
      <c r="L922" s="247"/>
      <c r="M922" s="238"/>
      <c r="N922" s="238"/>
      <c r="O922" s="251"/>
      <c r="P922" s="247"/>
      <c r="Q922" s="247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>
      <c r="A923" s="247"/>
      <c r="B923" s="247"/>
      <c r="C923" s="247"/>
      <c r="D923" s="238"/>
      <c r="E923" s="254"/>
      <c r="F923" s="255"/>
      <c r="G923" s="238"/>
      <c r="H923" s="247"/>
      <c r="I923" s="238"/>
      <c r="J923" s="247"/>
      <c r="K923" s="247"/>
      <c r="L923" s="247"/>
      <c r="M923" s="238"/>
      <c r="N923" s="238"/>
      <c r="O923" s="251"/>
      <c r="P923" s="247"/>
      <c r="Q923" s="247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>
      <c r="A924" s="247"/>
      <c r="B924" s="247"/>
      <c r="C924" s="247"/>
      <c r="D924" s="238"/>
      <c r="E924" s="254"/>
      <c r="F924" s="255"/>
      <c r="G924" s="238"/>
      <c r="H924" s="247"/>
      <c r="I924" s="238"/>
      <c r="J924" s="247"/>
      <c r="K924" s="247"/>
      <c r="L924" s="247"/>
      <c r="M924" s="238"/>
      <c r="N924" s="238"/>
      <c r="O924" s="251"/>
      <c r="P924" s="247"/>
      <c r="Q924" s="247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>
      <c r="A925" s="247"/>
      <c r="B925" s="247"/>
      <c r="C925" s="247"/>
      <c r="D925" s="238"/>
      <c r="E925" s="254"/>
      <c r="F925" s="255"/>
      <c r="G925" s="238"/>
      <c r="H925" s="247"/>
      <c r="I925" s="238"/>
      <c r="J925" s="247"/>
      <c r="K925" s="247"/>
      <c r="L925" s="247"/>
      <c r="M925" s="238"/>
      <c r="N925" s="238"/>
      <c r="O925" s="251"/>
      <c r="P925" s="247"/>
      <c r="Q925" s="247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>
      <c r="A926" s="247"/>
      <c r="B926" s="247"/>
      <c r="C926" s="247"/>
      <c r="D926" s="238"/>
      <c r="E926" s="254"/>
      <c r="F926" s="255"/>
      <c r="G926" s="238"/>
      <c r="H926" s="247"/>
      <c r="I926" s="238"/>
      <c r="J926" s="247"/>
      <c r="K926" s="247"/>
      <c r="L926" s="247"/>
      <c r="M926" s="238"/>
      <c r="N926" s="238"/>
      <c r="O926" s="251"/>
      <c r="P926" s="247"/>
      <c r="Q926" s="247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>
      <c r="A927" s="247"/>
      <c r="B927" s="247"/>
      <c r="C927" s="247"/>
      <c r="D927" s="238"/>
      <c r="E927" s="254"/>
      <c r="F927" s="255"/>
      <c r="G927" s="238"/>
      <c r="H927" s="247"/>
      <c r="I927" s="238"/>
      <c r="J927" s="247"/>
      <c r="K927" s="247"/>
      <c r="L927" s="247"/>
      <c r="M927" s="238"/>
      <c r="N927" s="238"/>
      <c r="O927" s="251"/>
      <c r="P927" s="247"/>
      <c r="Q927" s="247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>
      <c r="A928" s="247"/>
      <c r="B928" s="247"/>
      <c r="C928" s="247"/>
      <c r="D928" s="238"/>
      <c r="E928" s="254"/>
      <c r="F928" s="255"/>
      <c r="G928" s="238"/>
      <c r="H928" s="247"/>
      <c r="I928" s="238"/>
      <c r="J928" s="247"/>
      <c r="K928" s="247"/>
      <c r="L928" s="247"/>
      <c r="M928" s="238"/>
      <c r="N928" s="238"/>
      <c r="O928" s="251"/>
      <c r="P928" s="247"/>
      <c r="Q928" s="247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>
      <c r="A929" s="247"/>
      <c r="B929" s="247"/>
      <c r="C929" s="247"/>
      <c r="D929" s="238"/>
      <c r="E929" s="254"/>
      <c r="F929" s="255"/>
      <c r="G929" s="238"/>
      <c r="H929" s="247"/>
      <c r="I929" s="238"/>
      <c r="J929" s="247"/>
      <c r="K929" s="247"/>
      <c r="L929" s="247"/>
      <c r="M929" s="238"/>
      <c r="N929" s="238"/>
      <c r="O929" s="251"/>
      <c r="P929" s="247"/>
      <c r="Q929" s="247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>
      <c r="A930" s="247"/>
      <c r="B930" s="247"/>
      <c r="C930" s="247"/>
      <c r="D930" s="238"/>
      <c r="E930" s="254"/>
      <c r="F930" s="255"/>
      <c r="G930" s="238"/>
      <c r="H930" s="247"/>
      <c r="I930" s="238"/>
      <c r="J930" s="247"/>
      <c r="K930" s="247"/>
      <c r="L930" s="247"/>
      <c r="M930" s="238"/>
      <c r="N930" s="238"/>
      <c r="O930" s="251"/>
      <c r="P930" s="247"/>
      <c r="Q930" s="247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>
      <c r="A931" s="247"/>
      <c r="B931" s="247"/>
      <c r="C931" s="247"/>
      <c r="D931" s="238"/>
      <c r="E931" s="254"/>
      <c r="F931" s="255"/>
      <c r="G931" s="238"/>
      <c r="H931" s="247"/>
      <c r="I931" s="238"/>
      <c r="J931" s="247"/>
      <c r="K931" s="247"/>
      <c r="L931" s="247"/>
      <c r="M931" s="238"/>
      <c r="N931" s="238"/>
      <c r="O931" s="251"/>
      <c r="P931" s="247"/>
      <c r="Q931" s="247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>
      <c r="A932" s="247"/>
      <c r="B932" s="247"/>
      <c r="C932" s="247"/>
      <c r="D932" s="238"/>
      <c r="E932" s="254"/>
      <c r="F932" s="255"/>
      <c r="G932" s="238"/>
      <c r="H932" s="247"/>
      <c r="I932" s="238"/>
      <c r="J932" s="247"/>
      <c r="K932" s="247"/>
      <c r="L932" s="247"/>
      <c r="M932" s="238"/>
      <c r="N932" s="238"/>
      <c r="O932" s="251"/>
      <c r="P932" s="247"/>
      <c r="Q932" s="247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>
      <c r="A933" s="247"/>
      <c r="B933" s="247"/>
      <c r="C933" s="247"/>
      <c r="D933" s="238"/>
      <c r="E933" s="254"/>
      <c r="F933" s="255"/>
      <c r="G933" s="238"/>
      <c r="H933" s="247"/>
      <c r="I933" s="238"/>
      <c r="J933" s="247"/>
      <c r="K933" s="247"/>
      <c r="L933" s="247"/>
      <c r="M933" s="238"/>
      <c r="N933" s="238"/>
      <c r="O933" s="251"/>
      <c r="P933" s="247"/>
      <c r="Q933" s="247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>
      <c r="A934" s="247"/>
      <c r="B934" s="247"/>
      <c r="C934" s="247"/>
      <c r="D934" s="238"/>
      <c r="E934" s="254"/>
      <c r="F934" s="255"/>
      <c r="G934" s="238"/>
      <c r="H934" s="247"/>
      <c r="I934" s="238"/>
      <c r="J934" s="247"/>
      <c r="K934" s="247"/>
      <c r="L934" s="247"/>
      <c r="M934" s="238"/>
      <c r="N934" s="238"/>
      <c r="O934" s="251"/>
      <c r="P934" s="247"/>
      <c r="Q934" s="247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>
      <c r="A935" s="247"/>
      <c r="B935" s="247"/>
      <c r="C935" s="247"/>
      <c r="D935" s="238"/>
      <c r="E935" s="254"/>
      <c r="F935" s="255"/>
      <c r="G935" s="238"/>
      <c r="H935" s="247"/>
      <c r="I935" s="238"/>
      <c r="J935" s="247"/>
      <c r="K935" s="247"/>
      <c r="L935" s="247"/>
      <c r="M935" s="238"/>
      <c r="N935" s="238"/>
      <c r="O935" s="251"/>
      <c r="P935" s="247"/>
      <c r="Q935" s="247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>
      <c r="A936" s="247"/>
      <c r="B936" s="247"/>
      <c r="C936" s="247"/>
      <c r="D936" s="238"/>
      <c r="E936" s="254"/>
      <c r="F936" s="255"/>
      <c r="G936" s="238"/>
      <c r="H936" s="247"/>
      <c r="I936" s="238"/>
      <c r="J936" s="247"/>
      <c r="K936" s="247"/>
      <c r="L936" s="247"/>
      <c r="M936" s="238"/>
      <c r="N936" s="238"/>
      <c r="O936" s="251"/>
      <c r="P936" s="247"/>
      <c r="Q936" s="247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>
      <c r="A937" s="247"/>
      <c r="B937" s="247"/>
      <c r="C937" s="247"/>
      <c r="D937" s="238"/>
      <c r="E937" s="254"/>
      <c r="F937" s="255"/>
      <c r="G937" s="238"/>
      <c r="H937" s="247"/>
      <c r="I937" s="238"/>
      <c r="J937" s="247"/>
      <c r="K937" s="247"/>
      <c r="L937" s="247"/>
      <c r="M937" s="238"/>
      <c r="N937" s="238"/>
      <c r="O937" s="251"/>
      <c r="P937" s="247"/>
      <c r="Q937" s="247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>
      <c r="A938" s="247"/>
      <c r="B938" s="247"/>
      <c r="C938" s="247"/>
      <c r="D938" s="238"/>
      <c r="E938" s="254"/>
      <c r="F938" s="255"/>
      <c r="G938" s="238"/>
      <c r="H938" s="247"/>
      <c r="I938" s="238"/>
      <c r="J938" s="247"/>
      <c r="K938" s="247"/>
      <c r="L938" s="247"/>
      <c r="M938" s="238"/>
      <c r="N938" s="238"/>
      <c r="O938" s="251"/>
      <c r="P938" s="247"/>
      <c r="Q938" s="247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>
      <c r="A939" s="247"/>
      <c r="B939" s="247"/>
      <c r="C939" s="247"/>
      <c r="D939" s="238"/>
      <c r="E939" s="254"/>
      <c r="F939" s="255"/>
      <c r="G939" s="238"/>
      <c r="H939" s="247"/>
      <c r="I939" s="238"/>
      <c r="J939" s="247"/>
      <c r="K939" s="247"/>
      <c r="L939" s="247"/>
      <c r="M939" s="238"/>
      <c r="N939" s="238"/>
      <c r="O939" s="251"/>
      <c r="P939" s="247"/>
      <c r="Q939" s="247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>
      <c r="A940" s="247"/>
      <c r="B940" s="247"/>
      <c r="C940" s="247"/>
      <c r="D940" s="238"/>
      <c r="E940" s="254"/>
      <c r="F940" s="255"/>
      <c r="G940" s="238"/>
      <c r="H940" s="247"/>
      <c r="I940" s="238"/>
      <c r="J940" s="247"/>
      <c r="K940" s="247"/>
      <c r="L940" s="247"/>
      <c r="M940" s="238"/>
      <c r="N940" s="238"/>
      <c r="O940" s="251"/>
      <c r="P940" s="247"/>
      <c r="Q940" s="247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>
      <c r="A941" s="247"/>
      <c r="B941" s="247"/>
      <c r="C941" s="247"/>
      <c r="D941" s="238"/>
      <c r="E941" s="254"/>
      <c r="F941" s="255"/>
      <c r="G941" s="238"/>
      <c r="H941" s="247"/>
      <c r="I941" s="238"/>
      <c r="J941" s="247"/>
      <c r="K941" s="247"/>
      <c r="L941" s="247"/>
      <c r="M941" s="238"/>
      <c r="N941" s="238"/>
      <c r="O941" s="251"/>
      <c r="P941" s="247"/>
      <c r="Q941" s="247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>
      <c r="A942" s="247"/>
      <c r="B942" s="247"/>
      <c r="C942" s="247"/>
      <c r="D942" s="238"/>
      <c r="E942" s="254"/>
      <c r="F942" s="255"/>
      <c r="G942" s="238"/>
      <c r="H942" s="247"/>
      <c r="I942" s="238"/>
      <c r="J942" s="247"/>
      <c r="K942" s="247"/>
      <c r="L942" s="247"/>
      <c r="M942" s="238"/>
      <c r="N942" s="238"/>
      <c r="O942" s="251"/>
      <c r="P942" s="247"/>
      <c r="Q942" s="247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>
      <c r="A943" s="247"/>
      <c r="B943" s="247"/>
      <c r="C943" s="247"/>
      <c r="D943" s="238"/>
      <c r="E943" s="254"/>
      <c r="F943" s="255"/>
      <c r="G943" s="238"/>
      <c r="H943" s="247"/>
      <c r="I943" s="238"/>
      <c r="J943" s="247"/>
      <c r="K943" s="247"/>
      <c r="L943" s="247"/>
      <c r="M943" s="238"/>
      <c r="N943" s="238"/>
      <c r="O943" s="251"/>
      <c r="P943" s="247"/>
      <c r="Q943" s="247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>
      <c r="A944" s="247"/>
      <c r="B944" s="247"/>
      <c r="C944" s="247"/>
      <c r="D944" s="238"/>
      <c r="E944" s="254"/>
      <c r="F944" s="255"/>
      <c r="G944" s="238"/>
      <c r="H944" s="247"/>
      <c r="I944" s="238"/>
      <c r="J944" s="247"/>
      <c r="K944" s="247"/>
      <c r="L944" s="247"/>
      <c r="M944" s="238"/>
      <c r="N944" s="238"/>
      <c r="O944" s="251"/>
      <c r="P944" s="247"/>
      <c r="Q944" s="247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>
      <c r="A945" s="247"/>
      <c r="B945" s="247"/>
      <c r="C945" s="247"/>
      <c r="D945" s="238"/>
      <c r="E945" s="254"/>
      <c r="F945" s="255"/>
      <c r="G945" s="238"/>
      <c r="H945" s="247"/>
      <c r="I945" s="238"/>
      <c r="J945" s="247"/>
      <c r="K945" s="247"/>
      <c r="L945" s="247"/>
      <c r="M945" s="238"/>
      <c r="N945" s="238"/>
      <c r="O945" s="251"/>
      <c r="P945" s="247"/>
      <c r="Q945" s="247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>
      <c r="A946" s="247"/>
      <c r="B946" s="247"/>
      <c r="C946" s="247"/>
      <c r="D946" s="238"/>
      <c r="E946" s="254"/>
      <c r="F946" s="255"/>
      <c r="G946" s="238"/>
      <c r="H946" s="247"/>
      <c r="I946" s="238"/>
      <c r="J946" s="247"/>
      <c r="K946" s="247"/>
      <c r="L946" s="247"/>
      <c r="M946" s="238"/>
      <c r="N946" s="238"/>
      <c r="O946" s="251"/>
      <c r="P946" s="247"/>
      <c r="Q946" s="247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>
      <c r="A947" s="247"/>
      <c r="B947" s="247"/>
      <c r="C947" s="247"/>
      <c r="D947" s="238"/>
      <c r="E947" s="254"/>
      <c r="F947" s="255"/>
      <c r="G947" s="238"/>
      <c r="H947" s="247"/>
      <c r="I947" s="238"/>
      <c r="J947" s="247"/>
      <c r="K947" s="247"/>
      <c r="L947" s="247"/>
      <c r="M947" s="238"/>
      <c r="N947" s="238"/>
      <c r="O947" s="251"/>
      <c r="P947" s="247"/>
      <c r="Q947" s="247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>
      <c r="A948" s="247"/>
      <c r="B948" s="247"/>
      <c r="C948" s="247"/>
      <c r="D948" s="238"/>
      <c r="E948" s="254"/>
      <c r="F948" s="255"/>
      <c r="G948" s="238"/>
      <c r="H948" s="247"/>
      <c r="I948" s="238"/>
      <c r="J948" s="247"/>
      <c r="K948" s="247"/>
      <c r="L948" s="247"/>
      <c r="M948" s="238"/>
      <c r="N948" s="238"/>
      <c r="O948" s="251"/>
      <c r="P948" s="247"/>
      <c r="Q948" s="247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>
      <c r="A949" s="247"/>
      <c r="B949" s="247"/>
      <c r="C949" s="247"/>
      <c r="D949" s="238"/>
      <c r="E949" s="254"/>
      <c r="F949" s="255"/>
      <c r="G949" s="238"/>
      <c r="H949" s="247"/>
      <c r="I949" s="238"/>
      <c r="J949" s="247"/>
      <c r="K949" s="247"/>
      <c r="L949" s="247"/>
      <c r="M949" s="238"/>
      <c r="N949" s="238"/>
      <c r="O949" s="251"/>
      <c r="P949" s="247"/>
      <c r="Q949" s="247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>
      <c r="A950" s="247"/>
      <c r="B950" s="247"/>
      <c r="C950" s="247"/>
      <c r="D950" s="238"/>
      <c r="E950" s="254"/>
      <c r="F950" s="255"/>
      <c r="G950" s="238"/>
      <c r="H950" s="247"/>
      <c r="I950" s="238"/>
      <c r="J950" s="247"/>
      <c r="K950" s="247"/>
      <c r="L950" s="247"/>
      <c r="M950" s="238"/>
      <c r="N950" s="238"/>
      <c r="O950" s="251"/>
      <c r="P950" s="247"/>
      <c r="Q950" s="247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>
      <c r="A951" s="247"/>
      <c r="B951" s="247"/>
      <c r="C951" s="247"/>
      <c r="D951" s="238"/>
      <c r="E951" s="254"/>
      <c r="F951" s="255"/>
      <c r="G951" s="238"/>
      <c r="H951" s="247"/>
      <c r="I951" s="238"/>
      <c r="J951" s="247"/>
      <c r="K951" s="247"/>
      <c r="L951" s="247"/>
      <c r="M951" s="238"/>
      <c r="N951" s="238"/>
      <c r="O951" s="251"/>
      <c r="P951" s="247"/>
      <c r="Q951" s="247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>
      <c r="A952" s="247"/>
      <c r="B952" s="247"/>
      <c r="C952" s="247"/>
      <c r="D952" s="238"/>
      <c r="E952" s="254"/>
      <c r="F952" s="255"/>
      <c r="G952" s="238"/>
      <c r="H952" s="247"/>
      <c r="I952" s="238"/>
      <c r="J952" s="247"/>
      <c r="K952" s="247"/>
      <c r="L952" s="247"/>
      <c r="M952" s="238"/>
      <c r="N952" s="238"/>
      <c r="O952" s="251"/>
      <c r="P952" s="247"/>
      <c r="Q952" s="247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>
      <c r="A953" s="247"/>
      <c r="B953" s="247"/>
      <c r="C953" s="247"/>
      <c r="D953" s="238"/>
      <c r="E953" s="254"/>
      <c r="F953" s="255"/>
      <c r="G953" s="238"/>
      <c r="H953" s="247"/>
      <c r="I953" s="238"/>
      <c r="J953" s="247"/>
      <c r="K953" s="247"/>
      <c r="L953" s="247"/>
      <c r="M953" s="238"/>
      <c r="N953" s="238"/>
      <c r="O953" s="251"/>
      <c r="P953" s="247"/>
      <c r="Q953" s="247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>
      <c r="A954" s="247"/>
      <c r="B954" s="247"/>
      <c r="C954" s="247"/>
      <c r="D954" s="238"/>
      <c r="E954" s="254"/>
      <c r="F954" s="255"/>
      <c r="G954" s="238"/>
      <c r="H954" s="247"/>
      <c r="I954" s="238"/>
      <c r="J954" s="247"/>
      <c r="K954" s="247"/>
      <c r="L954" s="247"/>
      <c r="M954" s="238"/>
      <c r="N954" s="238"/>
      <c r="O954" s="251"/>
      <c r="P954" s="247"/>
      <c r="Q954" s="247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>
      <c r="A955" s="247"/>
      <c r="B955" s="247"/>
      <c r="C955" s="247"/>
      <c r="D955" s="238"/>
      <c r="E955" s="254"/>
      <c r="F955" s="255"/>
      <c r="G955" s="238"/>
      <c r="H955" s="247"/>
      <c r="I955" s="238"/>
      <c r="J955" s="247"/>
      <c r="K955" s="247"/>
      <c r="L955" s="247"/>
      <c r="M955" s="238"/>
      <c r="N955" s="238"/>
      <c r="O955" s="251"/>
      <c r="P955" s="247"/>
      <c r="Q955" s="247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>
      <c r="A956" s="247"/>
      <c r="B956" s="247"/>
      <c r="C956" s="247"/>
      <c r="D956" s="238"/>
      <c r="E956" s="254"/>
      <c r="F956" s="255"/>
      <c r="G956" s="238"/>
      <c r="H956" s="247"/>
      <c r="I956" s="238"/>
      <c r="J956" s="247"/>
      <c r="K956" s="247"/>
      <c r="L956" s="247"/>
      <c r="M956" s="238"/>
      <c r="N956" s="238"/>
      <c r="O956" s="251"/>
      <c r="P956" s="247"/>
      <c r="Q956" s="247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>
      <c r="A957" s="247"/>
      <c r="B957" s="247"/>
      <c r="C957" s="247"/>
      <c r="D957" s="238"/>
      <c r="E957" s="254"/>
      <c r="F957" s="255"/>
      <c r="G957" s="238"/>
      <c r="H957" s="247"/>
      <c r="I957" s="238"/>
      <c r="J957" s="247"/>
      <c r="K957" s="247"/>
      <c r="L957" s="247"/>
      <c r="M957" s="238"/>
      <c r="N957" s="238"/>
      <c r="O957" s="251"/>
      <c r="P957" s="247"/>
      <c r="Q957" s="247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>
      <c r="A958" s="247"/>
      <c r="B958" s="247"/>
      <c r="C958" s="247"/>
      <c r="D958" s="238"/>
      <c r="E958" s="254"/>
      <c r="F958" s="255"/>
      <c r="G958" s="238"/>
      <c r="H958" s="247"/>
      <c r="I958" s="238"/>
      <c r="J958" s="247"/>
      <c r="K958" s="247"/>
      <c r="L958" s="247"/>
      <c r="M958" s="238"/>
      <c r="N958" s="238"/>
      <c r="O958" s="251"/>
      <c r="P958" s="247"/>
      <c r="Q958" s="247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>
      <c r="A959" s="247"/>
      <c r="B959" s="247"/>
      <c r="C959" s="247"/>
      <c r="D959" s="238"/>
      <c r="E959" s="254"/>
      <c r="F959" s="255"/>
      <c r="G959" s="238"/>
      <c r="H959" s="247"/>
      <c r="I959" s="238"/>
      <c r="J959" s="247"/>
      <c r="K959" s="247"/>
      <c r="L959" s="247"/>
      <c r="M959" s="238"/>
      <c r="N959" s="238"/>
      <c r="O959" s="251"/>
      <c r="P959" s="247"/>
      <c r="Q959" s="247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>
      <c r="A960" s="247"/>
      <c r="B960" s="247"/>
      <c r="C960" s="247"/>
      <c r="D960" s="238"/>
      <c r="E960" s="254"/>
      <c r="F960" s="255"/>
      <c r="G960" s="238"/>
      <c r="H960" s="247"/>
      <c r="I960" s="238"/>
      <c r="J960" s="247"/>
      <c r="K960" s="247"/>
      <c r="L960" s="247"/>
      <c r="M960" s="238"/>
      <c r="N960" s="238"/>
      <c r="O960" s="251"/>
      <c r="P960" s="247"/>
      <c r="Q960" s="247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>
      <c r="A961" s="247"/>
      <c r="B961" s="247"/>
      <c r="C961" s="247"/>
      <c r="D961" s="238"/>
      <c r="E961" s="254"/>
      <c r="F961" s="255"/>
      <c r="G961" s="238"/>
      <c r="H961" s="247"/>
      <c r="I961" s="238"/>
      <c r="J961" s="247"/>
      <c r="K961" s="247"/>
      <c r="L961" s="247"/>
      <c r="M961" s="238"/>
      <c r="N961" s="238"/>
      <c r="O961" s="251"/>
      <c r="P961" s="247"/>
      <c r="Q961" s="247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>
      <c r="A962" s="247"/>
      <c r="B962" s="247"/>
      <c r="C962" s="247"/>
      <c r="D962" s="238"/>
      <c r="E962" s="254"/>
      <c r="F962" s="255"/>
      <c r="G962" s="238"/>
      <c r="H962" s="247"/>
      <c r="I962" s="238"/>
      <c r="J962" s="247"/>
      <c r="K962" s="247"/>
      <c r="L962" s="247"/>
      <c r="M962" s="238"/>
      <c r="N962" s="238"/>
      <c r="O962" s="251"/>
      <c r="P962" s="247"/>
      <c r="Q962" s="247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>
      <c r="A963" s="247"/>
      <c r="B963" s="247"/>
      <c r="C963" s="247"/>
      <c r="D963" s="238"/>
      <c r="E963" s="254"/>
      <c r="F963" s="255"/>
      <c r="G963" s="238"/>
      <c r="H963" s="247"/>
      <c r="I963" s="238"/>
      <c r="J963" s="247"/>
      <c r="K963" s="247"/>
      <c r="L963" s="247"/>
      <c r="M963" s="238"/>
      <c r="N963" s="238"/>
      <c r="O963" s="251"/>
      <c r="P963" s="247"/>
      <c r="Q963" s="247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>
      <c r="A964" s="247"/>
      <c r="B964" s="247"/>
      <c r="C964" s="247"/>
      <c r="D964" s="238"/>
      <c r="E964" s="254"/>
      <c r="F964" s="255"/>
      <c r="G964" s="238"/>
      <c r="H964" s="247"/>
      <c r="I964" s="238"/>
      <c r="J964" s="247"/>
      <c r="K964" s="247"/>
      <c r="L964" s="247"/>
      <c r="M964" s="238"/>
      <c r="N964" s="238"/>
      <c r="O964" s="251"/>
      <c r="P964" s="247"/>
      <c r="Q964" s="247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>
      <c r="A965" s="247"/>
      <c r="B965" s="247"/>
      <c r="C965" s="247"/>
      <c r="D965" s="238"/>
      <c r="E965" s="254"/>
      <c r="F965" s="255"/>
      <c r="G965" s="238"/>
      <c r="H965" s="247"/>
      <c r="I965" s="238"/>
      <c r="J965" s="247"/>
      <c r="K965" s="247"/>
      <c r="L965" s="247"/>
      <c r="M965" s="238"/>
      <c r="N965" s="238"/>
      <c r="O965" s="251"/>
      <c r="P965" s="247"/>
      <c r="Q965" s="247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>
      <c r="A966" s="247"/>
      <c r="B966" s="247"/>
      <c r="C966" s="247"/>
      <c r="D966" s="238"/>
      <c r="E966" s="254"/>
      <c r="F966" s="255"/>
      <c r="G966" s="238"/>
      <c r="H966" s="247"/>
      <c r="I966" s="238"/>
      <c r="J966" s="247"/>
      <c r="K966" s="247"/>
      <c r="L966" s="247"/>
      <c r="M966" s="238"/>
      <c r="N966" s="238"/>
      <c r="O966" s="251"/>
      <c r="P966" s="247"/>
      <c r="Q966" s="247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>
      <c r="A967" s="247"/>
      <c r="B967" s="247"/>
      <c r="C967" s="247"/>
      <c r="D967" s="238"/>
      <c r="E967" s="254"/>
      <c r="F967" s="255"/>
      <c r="G967" s="238"/>
      <c r="H967" s="247"/>
      <c r="I967" s="238"/>
      <c r="J967" s="247"/>
      <c r="K967" s="247"/>
      <c r="L967" s="247"/>
      <c r="M967" s="238"/>
      <c r="N967" s="238"/>
      <c r="O967" s="251"/>
      <c r="P967" s="247"/>
      <c r="Q967" s="247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>
      <c r="A968" s="247"/>
      <c r="B968" s="247"/>
      <c r="C968" s="247"/>
      <c r="D968" s="238"/>
      <c r="E968" s="254"/>
      <c r="F968" s="255"/>
      <c r="G968" s="238"/>
      <c r="H968" s="247"/>
      <c r="I968" s="238"/>
      <c r="J968" s="247"/>
      <c r="K968" s="247"/>
      <c r="L968" s="247"/>
      <c r="M968" s="238"/>
      <c r="N968" s="238"/>
      <c r="O968" s="251"/>
      <c r="P968" s="247"/>
      <c r="Q968" s="247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>
      <c r="A969" s="247"/>
      <c r="B969" s="247"/>
      <c r="C969" s="247"/>
      <c r="D969" s="238"/>
      <c r="E969" s="254"/>
      <c r="F969" s="255"/>
      <c r="G969" s="238"/>
      <c r="H969" s="247"/>
      <c r="I969" s="238"/>
      <c r="J969" s="247"/>
      <c r="K969" s="247"/>
      <c r="L969" s="247"/>
      <c r="M969" s="238"/>
      <c r="N969" s="238"/>
      <c r="O969" s="251"/>
      <c r="P969" s="247"/>
      <c r="Q969" s="247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>
      <c r="A970" s="247"/>
      <c r="B970" s="247"/>
      <c r="C970" s="247"/>
      <c r="D970" s="238"/>
      <c r="E970" s="254"/>
      <c r="F970" s="255"/>
      <c r="G970" s="238"/>
      <c r="H970" s="247"/>
      <c r="I970" s="238"/>
      <c r="J970" s="247"/>
      <c r="K970" s="247"/>
      <c r="L970" s="247"/>
      <c r="M970" s="238"/>
      <c r="N970" s="238"/>
      <c r="O970" s="251"/>
      <c r="P970" s="247"/>
      <c r="Q970" s="247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>
      <c r="A971" s="247"/>
      <c r="B971" s="247"/>
      <c r="C971" s="247"/>
      <c r="D971" s="238"/>
      <c r="E971" s="254"/>
      <c r="F971" s="255"/>
      <c r="G971" s="238"/>
      <c r="H971" s="247"/>
      <c r="I971" s="238"/>
      <c r="J971" s="247"/>
      <c r="K971" s="247"/>
      <c r="L971" s="247"/>
      <c r="M971" s="238"/>
      <c r="N971" s="238"/>
      <c r="O971" s="251"/>
      <c r="P971" s="247"/>
      <c r="Q971" s="247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>
      <c r="A972" s="247"/>
      <c r="B972" s="247"/>
      <c r="C972" s="247"/>
      <c r="D972" s="238"/>
      <c r="E972" s="254"/>
      <c r="F972" s="255"/>
      <c r="G972" s="238"/>
      <c r="H972" s="247"/>
      <c r="I972" s="238"/>
      <c r="J972" s="247"/>
      <c r="K972" s="247"/>
      <c r="L972" s="247"/>
      <c r="M972" s="238"/>
      <c r="N972" s="238"/>
      <c r="O972" s="251"/>
      <c r="P972" s="247"/>
      <c r="Q972" s="247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>
      <c r="A973" s="247"/>
      <c r="B973" s="247"/>
      <c r="C973" s="247"/>
      <c r="D973" s="238"/>
      <c r="E973" s="254"/>
      <c r="F973" s="255"/>
      <c r="G973" s="238"/>
      <c r="H973" s="247"/>
      <c r="I973" s="238"/>
      <c r="J973" s="247"/>
      <c r="K973" s="247"/>
      <c r="L973" s="247"/>
      <c r="M973" s="238"/>
      <c r="N973" s="238"/>
      <c r="O973" s="251"/>
      <c r="P973" s="247"/>
      <c r="Q973" s="247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>
      <c r="A974" s="247"/>
      <c r="B974" s="247"/>
      <c r="C974" s="247"/>
      <c r="D974" s="238"/>
      <c r="E974" s="254"/>
      <c r="F974" s="255"/>
      <c r="G974" s="238"/>
      <c r="H974" s="247"/>
      <c r="I974" s="238"/>
      <c r="J974" s="247"/>
      <c r="K974" s="247"/>
      <c r="L974" s="247"/>
      <c r="M974" s="238"/>
      <c r="N974" s="238"/>
      <c r="O974" s="251"/>
      <c r="P974" s="247"/>
      <c r="Q974" s="247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>
      <c r="A975" s="247"/>
      <c r="B975" s="247"/>
      <c r="C975" s="247"/>
      <c r="D975" s="238"/>
      <c r="E975" s="254"/>
      <c r="F975" s="255"/>
      <c r="G975" s="238"/>
      <c r="H975" s="247"/>
      <c r="I975" s="238"/>
      <c r="J975" s="247"/>
      <c r="K975" s="247"/>
      <c r="L975" s="247"/>
      <c r="M975" s="238"/>
      <c r="N975" s="238"/>
      <c r="O975" s="251"/>
      <c r="P975" s="247"/>
      <c r="Q975" s="247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>
      <c r="A976" s="247"/>
      <c r="B976" s="247"/>
      <c r="C976" s="247"/>
      <c r="D976" s="238"/>
      <c r="E976" s="254"/>
      <c r="F976" s="255"/>
      <c r="G976" s="238"/>
      <c r="H976" s="247"/>
      <c r="I976" s="238"/>
      <c r="J976" s="247"/>
      <c r="K976" s="247"/>
      <c r="L976" s="247"/>
      <c r="M976" s="238"/>
      <c r="N976" s="238"/>
      <c r="O976" s="251"/>
      <c r="P976" s="247"/>
      <c r="Q976" s="247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>
      <c r="A977" s="247"/>
      <c r="B977" s="247"/>
      <c r="C977" s="247"/>
      <c r="D977" s="238"/>
      <c r="E977" s="254"/>
      <c r="F977" s="255"/>
      <c r="G977" s="238"/>
      <c r="H977" s="247"/>
      <c r="I977" s="238"/>
      <c r="J977" s="247"/>
      <c r="K977" s="247"/>
      <c r="L977" s="247"/>
      <c r="M977" s="238"/>
      <c r="N977" s="238"/>
      <c r="O977" s="251"/>
      <c r="P977" s="247"/>
      <c r="Q977" s="247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>
      <c r="A978" s="247"/>
      <c r="B978" s="247"/>
      <c r="C978" s="247"/>
      <c r="D978" s="238"/>
      <c r="E978" s="254"/>
      <c r="F978" s="255"/>
      <c r="G978" s="238"/>
      <c r="H978" s="247"/>
      <c r="I978" s="238"/>
      <c r="J978" s="247"/>
      <c r="K978" s="247"/>
      <c r="L978" s="247"/>
      <c r="M978" s="238"/>
      <c r="N978" s="238"/>
      <c r="O978" s="251"/>
      <c r="P978" s="247"/>
      <c r="Q978" s="247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>
      <c r="A979" s="247"/>
      <c r="B979" s="247"/>
      <c r="C979" s="247"/>
      <c r="D979" s="238"/>
      <c r="E979" s="254"/>
      <c r="F979" s="255"/>
      <c r="G979" s="238"/>
      <c r="H979" s="247"/>
      <c r="I979" s="238"/>
      <c r="J979" s="247"/>
      <c r="K979" s="247"/>
      <c r="L979" s="247"/>
      <c r="M979" s="238"/>
      <c r="N979" s="238"/>
      <c r="O979" s="251"/>
      <c r="P979" s="247"/>
      <c r="Q979" s="247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>
      <c r="A980" s="247"/>
      <c r="B980" s="247"/>
      <c r="C980" s="247"/>
      <c r="D980" s="238"/>
      <c r="E980" s="254"/>
      <c r="F980" s="255"/>
      <c r="G980" s="238"/>
      <c r="H980" s="247"/>
      <c r="I980" s="238"/>
      <c r="J980" s="247"/>
      <c r="K980" s="247"/>
      <c r="L980" s="247"/>
      <c r="M980" s="238"/>
      <c r="N980" s="238"/>
      <c r="O980" s="251"/>
      <c r="P980" s="247"/>
      <c r="Q980" s="247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>
      <c r="A981" s="247"/>
      <c r="B981" s="247"/>
      <c r="C981" s="247"/>
      <c r="D981" s="238"/>
      <c r="E981" s="254"/>
      <c r="F981" s="255"/>
      <c r="G981" s="238"/>
      <c r="H981" s="247"/>
      <c r="I981" s="238"/>
      <c r="J981" s="247"/>
      <c r="K981" s="247"/>
      <c r="L981" s="247"/>
      <c r="M981" s="238"/>
      <c r="N981" s="238"/>
      <c r="O981" s="251"/>
      <c r="P981" s="247"/>
      <c r="Q981" s="247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>
      <c r="A982" s="247"/>
      <c r="B982" s="247"/>
      <c r="C982" s="247"/>
      <c r="D982" s="238"/>
      <c r="E982" s="254"/>
      <c r="F982" s="255"/>
      <c r="G982" s="238"/>
      <c r="H982" s="247"/>
      <c r="I982" s="238"/>
      <c r="J982" s="247"/>
      <c r="K982" s="247"/>
      <c r="L982" s="247"/>
      <c r="M982" s="238"/>
      <c r="N982" s="238"/>
      <c r="O982" s="251"/>
      <c r="P982" s="247"/>
      <c r="Q982" s="247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>
      <c r="A983" s="247"/>
      <c r="B983" s="247"/>
      <c r="C983" s="247"/>
      <c r="D983" s="238"/>
      <c r="E983" s="254"/>
      <c r="F983" s="255"/>
      <c r="G983" s="238"/>
      <c r="H983" s="247"/>
      <c r="I983" s="238"/>
      <c r="J983" s="247"/>
      <c r="K983" s="247"/>
      <c r="L983" s="247"/>
      <c r="M983" s="238"/>
      <c r="N983" s="238"/>
      <c r="O983" s="251"/>
      <c r="P983" s="247"/>
      <c r="Q983" s="247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>
      <c r="A984" s="247"/>
      <c r="B984" s="247"/>
      <c r="C984" s="247"/>
      <c r="D984" s="238"/>
      <c r="E984" s="254"/>
      <c r="F984" s="255"/>
      <c r="G984" s="238"/>
      <c r="H984" s="247"/>
      <c r="I984" s="238"/>
      <c r="J984" s="247"/>
      <c r="K984" s="247"/>
      <c r="L984" s="247"/>
      <c r="M984" s="238"/>
      <c r="N984" s="238"/>
      <c r="O984" s="251"/>
      <c r="P984" s="247"/>
      <c r="Q984" s="247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>
      <c r="A985" s="247"/>
      <c r="B985" s="247"/>
      <c r="C985" s="247"/>
      <c r="D985" s="238"/>
      <c r="E985" s="254"/>
      <c r="F985" s="255"/>
      <c r="G985" s="238"/>
      <c r="H985" s="247"/>
      <c r="I985" s="238"/>
      <c r="J985" s="247"/>
      <c r="K985" s="247"/>
      <c r="L985" s="247"/>
      <c r="M985" s="238"/>
      <c r="N985" s="238"/>
      <c r="O985" s="251"/>
      <c r="P985" s="247"/>
      <c r="Q985" s="247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>
      <c r="A986" s="247"/>
      <c r="B986" s="247"/>
      <c r="C986" s="247"/>
      <c r="D986" s="238"/>
      <c r="E986" s="254"/>
      <c r="F986" s="255"/>
      <c r="G986" s="238"/>
      <c r="H986" s="247"/>
      <c r="I986" s="238"/>
      <c r="J986" s="247"/>
      <c r="K986" s="247"/>
      <c r="L986" s="247"/>
      <c r="M986" s="238"/>
      <c r="N986" s="238"/>
      <c r="O986" s="251"/>
      <c r="P986" s="247"/>
      <c r="Q986" s="247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>
      <c r="A987" s="247"/>
      <c r="B987" s="247"/>
      <c r="C987" s="247"/>
      <c r="D987" s="238"/>
      <c r="E987" s="254"/>
      <c r="F987" s="255"/>
      <c r="G987" s="238"/>
      <c r="H987" s="247"/>
      <c r="I987" s="238"/>
      <c r="J987" s="247"/>
      <c r="K987" s="247"/>
      <c r="L987" s="247"/>
      <c r="M987" s="238"/>
      <c r="N987" s="238"/>
      <c r="O987" s="251"/>
      <c r="P987" s="247"/>
      <c r="Q987" s="247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>
      <c r="A988" s="247"/>
      <c r="B988" s="247"/>
      <c r="C988" s="247"/>
      <c r="D988" s="238"/>
      <c r="E988" s="254"/>
      <c r="F988" s="255"/>
      <c r="G988" s="238"/>
      <c r="H988" s="247"/>
      <c r="I988" s="238"/>
      <c r="J988" s="247"/>
      <c r="K988" s="247"/>
      <c r="L988" s="247"/>
      <c r="M988" s="238"/>
      <c r="N988" s="238"/>
      <c r="O988" s="251"/>
      <c r="P988" s="247"/>
      <c r="Q988" s="247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>
      <c r="A989" s="247"/>
      <c r="B989" s="247"/>
      <c r="C989" s="247"/>
      <c r="D989" s="238"/>
      <c r="E989" s="254"/>
      <c r="F989" s="255"/>
      <c r="G989" s="238"/>
      <c r="H989" s="247"/>
      <c r="I989" s="238"/>
      <c r="J989" s="247"/>
      <c r="K989" s="247"/>
      <c r="L989" s="247"/>
      <c r="M989" s="238"/>
      <c r="N989" s="238"/>
      <c r="O989" s="251"/>
      <c r="P989" s="247"/>
      <c r="Q989" s="247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>
      <c r="A990" s="247"/>
      <c r="B990" s="247"/>
      <c r="C990" s="247"/>
      <c r="D990" s="238"/>
      <c r="E990" s="254"/>
      <c r="F990" s="255"/>
      <c r="G990" s="238"/>
      <c r="H990" s="247"/>
      <c r="I990" s="238"/>
      <c r="J990" s="247"/>
      <c r="K990" s="247"/>
      <c r="L990" s="247"/>
      <c r="M990" s="238"/>
      <c r="N990" s="238"/>
      <c r="O990" s="251"/>
      <c r="P990" s="247"/>
      <c r="Q990" s="247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>
      <c r="A991" s="247"/>
      <c r="B991" s="247"/>
      <c r="C991" s="247"/>
      <c r="D991" s="238"/>
      <c r="E991" s="254"/>
      <c r="F991" s="255"/>
      <c r="G991" s="238"/>
      <c r="H991" s="247"/>
      <c r="I991" s="238"/>
      <c r="J991" s="247"/>
      <c r="K991" s="247"/>
      <c r="L991" s="247"/>
      <c r="M991" s="238"/>
      <c r="N991" s="238"/>
      <c r="O991" s="251"/>
      <c r="P991" s="247"/>
      <c r="Q991" s="247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>
      <c r="A992" s="247"/>
      <c r="B992" s="247"/>
      <c r="C992" s="247"/>
      <c r="D992" s="238"/>
      <c r="E992" s="254"/>
      <c r="F992" s="255"/>
      <c r="G992" s="238"/>
      <c r="H992" s="247"/>
      <c r="I992" s="238"/>
      <c r="J992" s="247"/>
      <c r="K992" s="247"/>
      <c r="L992" s="247"/>
      <c r="M992" s="238"/>
      <c r="N992" s="238"/>
      <c r="O992" s="251"/>
      <c r="P992" s="247"/>
      <c r="Q992" s="247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>
      <c r="A993" s="247"/>
      <c r="B993" s="247"/>
      <c r="C993" s="247"/>
      <c r="D993" s="238"/>
      <c r="E993" s="212"/>
      <c r="F993" s="212"/>
      <c r="G993" s="238"/>
      <c r="H993" s="247"/>
      <c r="I993" s="238"/>
      <c r="J993" s="247"/>
      <c r="K993" s="247"/>
      <c r="L993" s="247"/>
      <c r="M993" s="238"/>
      <c r="N993" s="238"/>
      <c r="O993" s="251"/>
      <c r="P993" s="247"/>
      <c r="Q993" s="247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>
      <c r="A994" s="247"/>
      <c r="B994" s="247"/>
      <c r="C994" s="247"/>
      <c r="D994" s="238"/>
      <c r="E994" s="212"/>
      <c r="F994" s="212"/>
      <c r="G994" s="238"/>
      <c r="H994" s="247"/>
      <c r="I994" s="238"/>
      <c r="J994" s="247"/>
      <c r="K994" s="247"/>
      <c r="L994" s="247"/>
      <c r="M994" s="238"/>
      <c r="N994" s="238"/>
      <c r="O994" s="251"/>
      <c r="P994" s="247"/>
      <c r="Q994" s="247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>
      <c r="A995" s="247"/>
      <c r="B995" s="247"/>
      <c r="C995" s="247"/>
      <c r="D995" s="238"/>
      <c r="E995" s="212"/>
      <c r="F995" s="212"/>
      <c r="G995" s="238"/>
      <c r="H995" s="247"/>
      <c r="I995" s="238"/>
      <c r="J995" s="247"/>
      <c r="K995" s="247"/>
      <c r="L995" s="247"/>
      <c r="M995" s="238"/>
      <c r="N995" s="238"/>
      <c r="O995" s="251"/>
      <c r="P995" s="247"/>
      <c r="Q995" s="247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>
      <c r="A996" s="247"/>
      <c r="B996" s="247"/>
      <c r="C996" s="247"/>
      <c r="D996" s="238"/>
      <c r="E996" s="212"/>
      <c r="F996" s="212"/>
      <c r="G996" s="238"/>
      <c r="H996" s="247"/>
      <c r="I996" s="238"/>
      <c r="J996" s="247"/>
      <c r="K996" s="247"/>
      <c r="L996" s="247"/>
      <c r="M996" s="238"/>
      <c r="N996" s="238"/>
      <c r="O996" s="251"/>
      <c r="P996" s="247"/>
      <c r="Q996" s="247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>
      <c r="A997" s="247"/>
      <c r="B997" s="247"/>
      <c r="C997" s="247"/>
      <c r="D997" s="238"/>
      <c r="E997" s="212"/>
      <c r="F997" s="212"/>
      <c r="G997" s="238"/>
      <c r="H997" s="247"/>
      <c r="I997" s="238"/>
      <c r="J997" s="247"/>
      <c r="K997" s="247"/>
      <c r="L997" s="247"/>
      <c r="M997" s="238"/>
      <c r="N997" s="238"/>
      <c r="O997" s="251"/>
      <c r="P997" s="247"/>
      <c r="Q997" s="247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>
      <c r="A998" s="247"/>
      <c r="B998" s="247"/>
      <c r="C998" s="247"/>
      <c r="D998" s="238"/>
      <c r="E998" s="212"/>
      <c r="F998" s="212"/>
      <c r="G998" s="238"/>
      <c r="H998" s="247"/>
      <c r="I998" s="238"/>
      <c r="J998" s="247"/>
      <c r="K998" s="247"/>
      <c r="L998" s="247"/>
      <c r="M998" s="238"/>
      <c r="N998" s="238"/>
      <c r="O998" s="251"/>
      <c r="P998" s="247"/>
      <c r="Q998" s="247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>
      <c r="A999" s="247"/>
      <c r="B999" s="247"/>
      <c r="C999" s="247"/>
      <c r="D999" s="238"/>
      <c r="E999" s="212"/>
      <c r="F999" s="212"/>
      <c r="G999" s="238"/>
      <c r="H999" s="247"/>
      <c r="I999" s="238"/>
      <c r="J999" s="247"/>
      <c r="K999" s="247"/>
      <c r="L999" s="247"/>
      <c r="M999" s="238"/>
      <c r="N999" s="238"/>
      <c r="O999" s="251"/>
      <c r="P999" s="247"/>
      <c r="Q999" s="247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>
      <c r="A1000" s="247"/>
      <c r="B1000" s="247"/>
      <c r="C1000" s="247"/>
      <c r="D1000" s="238"/>
      <c r="E1000" s="212"/>
      <c r="F1000" s="212"/>
      <c r="G1000" s="238"/>
      <c r="H1000" s="247"/>
      <c r="I1000" s="238"/>
      <c r="J1000" s="247"/>
      <c r="K1000" s="247"/>
      <c r="L1000" s="247"/>
      <c r="M1000" s="238"/>
      <c r="N1000" s="238"/>
      <c r="O1000" s="251"/>
      <c r="P1000" s="247"/>
      <c r="Q1000" s="247"/>
      <c r="R1000" s="238"/>
      <c r="S1000" s="238"/>
      <c r="T1000" s="238"/>
      <c r="U1000" s="238"/>
      <c r="V1000" s="238"/>
      <c r="W1000" s="238"/>
      <c r="X1000" s="238"/>
      <c r="Y1000" s="238"/>
      <c r="Z1000" s="238"/>
    </row>
    <row r="1001">
      <c r="A1001" s="247"/>
      <c r="B1001" s="247"/>
      <c r="C1001" s="247"/>
      <c r="D1001" s="238"/>
      <c r="E1001" s="212"/>
      <c r="F1001" s="212"/>
      <c r="G1001" s="238"/>
      <c r="H1001" s="247"/>
      <c r="I1001" s="238"/>
      <c r="J1001" s="247"/>
      <c r="K1001" s="247"/>
      <c r="L1001" s="247"/>
      <c r="M1001" s="238"/>
      <c r="N1001" s="238"/>
      <c r="O1001" s="251"/>
      <c r="P1001" s="247"/>
      <c r="Q1001" s="247"/>
      <c r="R1001" s="238"/>
      <c r="S1001" s="238"/>
      <c r="T1001" s="238"/>
      <c r="U1001" s="238"/>
      <c r="V1001" s="238"/>
      <c r="W1001" s="238"/>
      <c r="X1001" s="238"/>
      <c r="Y1001" s="238"/>
      <c r="Z1001" s="238"/>
    </row>
    <row r="1002">
      <c r="A1002" s="247"/>
      <c r="B1002" s="247"/>
      <c r="C1002" s="247"/>
      <c r="D1002" s="238"/>
      <c r="E1002" s="212"/>
      <c r="F1002" s="212"/>
      <c r="G1002" s="238"/>
      <c r="H1002" s="247"/>
      <c r="I1002" s="238"/>
      <c r="J1002" s="247"/>
      <c r="K1002" s="247"/>
      <c r="L1002" s="247"/>
      <c r="M1002" s="238"/>
      <c r="N1002" s="238"/>
      <c r="O1002" s="251"/>
      <c r="P1002" s="247"/>
      <c r="Q1002" s="247"/>
      <c r="R1002" s="238"/>
      <c r="S1002" s="238"/>
      <c r="T1002" s="238"/>
      <c r="U1002" s="238"/>
      <c r="V1002" s="238"/>
      <c r="W1002" s="238"/>
      <c r="X1002" s="238"/>
      <c r="Y1002" s="238"/>
      <c r="Z1002" s="238"/>
    </row>
    <row r="1003">
      <c r="A1003" s="247"/>
      <c r="B1003" s="247"/>
      <c r="C1003" s="247"/>
      <c r="D1003" s="238"/>
      <c r="E1003" s="212"/>
      <c r="F1003" s="212"/>
      <c r="G1003" s="238"/>
      <c r="H1003" s="247"/>
      <c r="I1003" s="238"/>
      <c r="J1003" s="247"/>
      <c r="K1003" s="247"/>
      <c r="L1003" s="247"/>
      <c r="M1003" s="238"/>
      <c r="N1003" s="238"/>
      <c r="O1003" s="251"/>
      <c r="P1003" s="247"/>
      <c r="Q1003" s="247"/>
      <c r="R1003" s="238"/>
      <c r="S1003" s="238"/>
      <c r="T1003" s="238"/>
      <c r="U1003" s="238"/>
      <c r="V1003" s="238"/>
      <c r="W1003" s="238"/>
      <c r="X1003" s="238"/>
      <c r="Y1003" s="238"/>
      <c r="Z1003" s="238"/>
    </row>
    <row r="1004">
      <c r="A1004" s="247"/>
      <c r="B1004" s="247"/>
      <c r="C1004" s="247"/>
      <c r="D1004" s="238"/>
      <c r="E1004" s="212"/>
      <c r="F1004" s="212"/>
      <c r="G1004" s="238"/>
      <c r="H1004" s="247"/>
      <c r="I1004" s="238"/>
      <c r="J1004" s="247"/>
      <c r="K1004" s="247"/>
      <c r="L1004" s="247"/>
      <c r="M1004" s="238"/>
      <c r="N1004" s="238"/>
      <c r="O1004" s="251"/>
      <c r="P1004" s="247"/>
      <c r="Q1004" s="247"/>
      <c r="R1004" s="238"/>
      <c r="S1004" s="238"/>
      <c r="T1004" s="238"/>
      <c r="U1004" s="238"/>
      <c r="V1004" s="238"/>
      <c r="W1004" s="238"/>
      <c r="X1004" s="238"/>
      <c r="Y1004" s="238"/>
      <c r="Z1004" s="238"/>
    </row>
    <row r="1005">
      <c r="A1005" s="247"/>
      <c r="B1005" s="247"/>
      <c r="C1005" s="247"/>
      <c r="D1005" s="238"/>
      <c r="E1005" s="212"/>
      <c r="F1005" s="212"/>
      <c r="G1005" s="238"/>
      <c r="H1005" s="247"/>
      <c r="I1005" s="238"/>
      <c r="J1005" s="247"/>
      <c r="K1005" s="247"/>
      <c r="L1005" s="247"/>
      <c r="M1005" s="238"/>
      <c r="N1005" s="238"/>
      <c r="O1005" s="251"/>
      <c r="P1005" s="247"/>
      <c r="Q1005" s="247"/>
      <c r="R1005" s="238"/>
      <c r="S1005" s="238"/>
      <c r="T1005" s="238"/>
      <c r="U1005" s="238"/>
      <c r="V1005" s="238"/>
      <c r="W1005" s="238"/>
      <c r="X1005" s="238"/>
      <c r="Y1005" s="238"/>
      <c r="Z1005" s="238"/>
    </row>
    <row r="1006">
      <c r="A1006" s="247"/>
      <c r="B1006" s="247"/>
      <c r="C1006" s="247"/>
      <c r="D1006" s="238"/>
      <c r="E1006" s="212"/>
      <c r="F1006" s="212"/>
      <c r="G1006" s="238"/>
      <c r="H1006" s="247"/>
      <c r="I1006" s="238"/>
      <c r="J1006" s="247"/>
      <c r="K1006" s="247"/>
      <c r="L1006" s="247"/>
      <c r="M1006" s="238"/>
      <c r="N1006" s="238"/>
      <c r="O1006" s="251"/>
      <c r="P1006" s="247"/>
      <c r="Q1006" s="247"/>
      <c r="R1006" s="238"/>
      <c r="S1006" s="238"/>
      <c r="T1006" s="238"/>
      <c r="U1006" s="238"/>
      <c r="V1006" s="238"/>
      <c r="W1006" s="238"/>
      <c r="X1006" s="238"/>
      <c r="Y1006" s="238"/>
      <c r="Z1006" s="238"/>
    </row>
  </sheetData>
  <autoFilter ref="$N$1:$Q$1006">
    <sortState ref="N1:Q1006">
      <sortCondition ref="N1:N1006"/>
    </sortState>
  </autoFilter>
  <mergeCells count="5">
    <mergeCell ref="A1:C1"/>
    <mergeCell ref="E1:H1"/>
    <mergeCell ref="J1:L1"/>
    <mergeCell ref="A17:C17"/>
    <mergeCell ref="E44:F4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257" t="s">
        <v>3</v>
      </c>
      <c r="I1" s="184"/>
      <c r="J1" s="185" t="s">
        <v>359</v>
      </c>
    </row>
    <row r="2" ht="12.0" customHeight="1">
      <c r="A2" s="186"/>
      <c r="B2" s="187"/>
      <c r="C2" s="187"/>
      <c r="D2" s="187"/>
      <c r="E2" s="187"/>
      <c r="F2" s="187"/>
      <c r="G2" s="187"/>
      <c r="H2" s="187"/>
      <c r="I2" s="189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192"/>
    </row>
    <row r="4" ht="22.5" customHeight="1">
      <c r="A4" s="193"/>
      <c r="B4" s="194">
        <f>Year!R4</f>
        <v>1</v>
      </c>
      <c r="C4" s="194">
        <f>Year!S4</f>
        <v>2</v>
      </c>
      <c r="D4" s="194">
        <f>Year!T4</f>
        <v>3</v>
      </c>
      <c r="E4" s="194">
        <f>Year!U4</f>
        <v>4</v>
      </c>
      <c r="F4" s="194">
        <f>Year!V4</f>
        <v>5</v>
      </c>
      <c r="G4" s="194">
        <f>Year!W4</f>
        <v>6</v>
      </c>
      <c r="H4" s="194">
        <f>Year!X4</f>
        <v>7</v>
      </c>
      <c r="I4" s="195"/>
    </row>
    <row r="5" ht="52.5" customHeight="1">
      <c r="A5" s="193"/>
      <c r="B5" s="196"/>
      <c r="C5" s="196"/>
      <c r="D5" s="196"/>
      <c r="E5" s="196"/>
      <c r="F5" s="196"/>
      <c r="G5" s="196"/>
      <c r="H5" s="196"/>
      <c r="I5" s="195"/>
    </row>
    <row r="6" ht="22.5" customHeight="1">
      <c r="A6" s="193"/>
      <c r="B6" s="194">
        <f>Year!R5</f>
        <v>8</v>
      </c>
      <c r="C6" s="194">
        <f>Year!S5</f>
        <v>9</v>
      </c>
      <c r="D6" s="194">
        <f>Year!T5</f>
        <v>10</v>
      </c>
      <c r="E6" s="194">
        <f>Year!U5</f>
        <v>11</v>
      </c>
      <c r="F6" s="194">
        <f>Year!V5</f>
        <v>12</v>
      </c>
      <c r="G6" s="194">
        <f>Year!W5</f>
        <v>13</v>
      </c>
      <c r="H6" s="194">
        <f>Year!X5</f>
        <v>14</v>
      </c>
      <c r="I6" s="195"/>
    </row>
    <row r="7" ht="52.5" customHeight="1">
      <c r="A7" s="193"/>
      <c r="B7" s="196"/>
      <c r="C7" s="196"/>
      <c r="D7" s="196"/>
      <c r="E7" s="196"/>
      <c r="F7" s="196"/>
      <c r="G7" s="196"/>
      <c r="H7" s="196"/>
      <c r="I7" s="195"/>
    </row>
    <row r="8" ht="22.5" customHeight="1">
      <c r="A8" s="193"/>
      <c r="B8" s="194">
        <f>Year!R6</f>
        <v>15</v>
      </c>
      <c r="C8" s="194">
        <f>Year!S6</f>
        <v>16</v>
      </c>
      <c r="D8" s="194">
        <f>Year!T6</f>
        <v>17</v>
      </c>
      <c r="E8" s="194">
        <f>Year!U6</f>
        <v>18</v>
      </c>
      <c r="F8" s="194">
        <f>Year!V6</f>
        <v>19</v>
      </c>
      <c r="G8" s="194">
        <f>Year!W6</f>
        <v>20</v>
      </c>
      <c r="H8" s="194">
        <f>Year!X6</f>
        <v>21</v>
      </c>
      <c r="I8" s="195"/>
    </row>
    <row r="9" ht="52.5" customHeight="1">
      <c r="A9" s="193"/>
      <c r="B9" s="196"/>
      <c r="C9" s="196"/>
      <c r="D9" s="196"/>
      <c r="E9" s="196"/>
      <c r="F9" s="196"/>
      <c r="G9" s="196"/>
      <c r="H9" s="196"/>
      <c r="I9" s="195"/>
    </row>
    <row r="10" ht="22.5" customHeight="1">
      <c r="A10" s="193"/>
      <c r="B10" s="194">
        <f>Year!R7</f>
        <v>22</v>
      </c>
      <c r="C10" s="194">
        <f>Year!S7</f>
        <v>23</v>
      </c>
      <c r="D10" s="194">
        <f>Year!T7</f>
        <v>24</v>
      </c>
      <c r="E10" s="194">
        <f>Year!U7</f>
        <v>25</v>
      </c>
      <c r="F10" s="194">
        <f>Year!V7</f>
        <v>26</v>
      </c>
      <c r="G10" s="194">
        <f>Year!W7</f>
        <v>27</v>
      </c>
      <c r="H10" s="194">
        <f>Year!X7</f>
        <v>28</v>
      </c>
      <c r="I10" s="195"/>
    </row>
    <row r="11" ht="52.5" customHeight="1">
      <c r="A11" s="193"/>
      <c r="B11" s="196"/>
      <c r="C11" s="196"/>
      <c r="D11" s="196"/>
      <c r="E11" s="196"/>
      <c r="F11" s="196"/>
      <c r="G11" s="196"/>
      <c r="H11" s="196"/>
      <c r="I11" s="195"/>
    </row>
    <row r="12" ht="22.5" customHeight="1">
      <c r="A12" s="193"/>
      <c r="B12" s="194">
        <f>Year!R8</f>
        <v>29</v>
      </c>
      <c r="C12" s="194">
        <f>Year!S8</f>
        <v>30</v>
      </c>
      <c r="D12" s="194">
        <f>Year!T8</f>
        <v>31</v>
      </c>
      <c r="E12" s="194" t="str">
        <f>Year!U8</f>
        <v/>
      </c>
      <c r="F12" s="194" t="str">
        <f>Year!V8</f>
        <v/>
      </c>
      <c r="G12" s="194" t="str">
        <f>Year!W8</f>
        <v/>
      </c>
      <c r="H12" s="194" t="str">
        <f>Year!X8</f>
        <v/>
      </c>
      <c r="I12" s="195"/>
    </row>
    <row r="13" ht="52.5" customHeight="1">
      <c r="A13" s="193"/>
      <c r="B13" s="196"/>
      <c r="C13" s="196"/>
      <c r="D13" s="196"/>
      <c r="E13" s="196"/>
      <c r="F13" s="196"/>
      <c r="G13" s="196"/>
      <c r="H13" s="196"/>
      <c r="I13" s="195"/>
    </row>
    <row r="14" ht="22.5" customHeight="1">
      <c r="A14" s="193"/>
      <c r="B14" s="258"/>
      <c r="C14" s="258"/>
      <c r="D14" s="258"/>
      <c r="E14" s="258"/>
      <c r="F14" s="258"/>
      <c r="G14" s="258"/>
      <c r="H14" s="258"/>
      <c r="I14" s="203"/>
    </row>
    <row r="15" ht="52.5" customHeight="1">
      <c r="A15" s="193"/>
      <c r="B15" s="258"/>
      <c r="C15" s="258"/>
      <c r="D15" s="258"/>
      <c r="E15" s="258"/>
      <c r="F15" s="258"/>
      <c r="G15" s="258"/>
      <c r="H15" s="258"/>
      <c r="I15" s="203"/>
    </row>
    <row r="16" ht="22.5" customHeight="1">
      <c r="A16" s="193"/>
      <c r="B16" s="195"/>
      <c r="C16" s="195"/>
      <c r="D16" s="195"/>
      <c r="E16" s="195"/>
      <c r="F16" s="195"/>
      <c r="G16" s="195"/>
      <c r="H16" s="195"/>
      <c r="I16" s="203"/>
    </row>
    <row r="17" ht="22.5" customHeight="1">
      <c r="A17" s="193"/>
      <c r="B17" s="259" t="s">
        <v>230</v>
      </c>
      <c r="C17" s="236"/>
      <c r="D17" s="236"/>
      <c r="E17" s="236"/>
      <c r="F17" s="236"/>
      <c r="G17" s="236"/>
      <c r="H17" s="236"/>
      <c r="I17" s="195"/>
    </row>
    <row r="18" ht="22.5" customHeight="1">
      <c r="A18" s="193"/>
      <c r="B18" s="195"/>
      <c r="I18" s="195"/>
    </row>
    <row r="19" ht="22.5" customHeight="1">
      <c r="A19" s="193"/>
      <c r="I19" s="20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60" t="s">
        <v>360</v>
      </c>
      <c r="I1" s="216"/>
      <c r="J1" s="217" t="s">
        <v>361</v>
      </c>
    </row>
    <row r="2" ht="12.0" customHeight="1">
      <c r="A2" s="218"/>
      <c r="B2" s="219"/>
      <c r="C2" s="219"/>
      <c r="D2" s="219"/>
      <c r="E2" s="219"/>
      <c r="F2" s="219"/>
      <c r="G2" s="219"/>
      <c r="H2" s="219"/>
      <c r="I2" s="220"/>
    </row>
    <row r="3" ht="30.0" customHeight="1">
      <c r="A3" s="221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23"/>
    </row>
    <row r="4" ht="22.5" customHeight="1">
      <c r="A4" s="224"/>
      <c r="B4" s="225" t="str">
        <f>Year!B13</f>
        <v/>
      </c>
      <c r="C4" s="225" t="str">
        <f>Year!C13</f>
        <v/>
      </c>
      <c r="D4" s="225" t="str">
        <f>Year!D13</f>
        <v/>
      </c>
      <c r="E4" s="225">
        <f>Year!E13</f>
        <v>1</v>
      </c>
      <c r="F4" s="225">
        <f>Year!F13</f>
        <v>2</v>
      </c>
      <c r="G4" s="225">
        <f>Year!G13</f>
        <v>3</v>
      </c>
      <c r="H4" s="225">
        <f>Year!H13</f>
        <v>4</v>
      </c>
      <c r="I4" s="226"/>
    </row>
    <row r="5" ht="52.5" customHeight="1">
      <c r="A5" s="224"/>
      <c r="B5" s="227"/>
      <c r="C5" s="227"/>
      <c r="D5" s="227"/>
      <c r="E5" s="227"/>
      <c r="F5" s="227"/>
      <c r="G5" s="227"/>
      <c r="H5" s="227"/>
      <c r="I5" s="226"/>
    </row>
    <row r="6" ht="22.5" customHeight="1">
      <c r="A6" s="224"/>
      <c r="B6" s="225">
        <f>Year!B14</f>
        <v>5</v>
      </c>
      <c r="C6" s="225">
        <f>Year!C14</f>
        <v>6</v>
      </c>
      <c r="D6" s="225">
        <f>Year!D14</f>
        <v>7</v>
      </c>
      <c r="E6" s="225">
        <f>Year!E14</f>
        <v>8</v>
      </c>
      <c r="F6" s="225">
        <f>Year!F14</f>
        <v>9</v>
      </c>
      <c r="G6" s="225">
        <f>Year!G14</f>
        <v>10</v>
      </c>
      <c r="H6" s="225">
        <f>Year!H14</f>
        <v>11</v>
      </c>
      <c r="I6" s="226"/>
    </row>
    <row r="7" ht="52.5" customHeight="1">
      <c r="A7" s="224"/>
      <c r="B7" s="227"/>
      <c r="C7" s="227"/>
      <c r="D7" s="227"/>
      <c r="E7" s="227"/>
      <c r="F7" s="227"/>
      <c r="G7" s="227"/>
      <c r="H7" s="227"/>
      <c r="I7" s="226"/>
    </row>
    <row r="8" ht="22.5" customHeight="1">
      <c r="A8" s="224"/>
      <c r="B8" s="225">
        <f>Year!B15</f>
        <v>12</v>
      </c>
      <c r="C8" s="225">
        <f>Year!C15</f>
        <v>13</v>
      </c>
      <c r="D8" s="225">
        <f>Year!D15</f>
        <v>14</v>
      </c>
      <c r="E8" s="225">
        <f>Year!E15</f>
        <v>15</v>
      </c>
      <c r="F8" s="225">
        <f>Year!F15</f>
        <v>16</v>
      </c>
      <c r="G8" s="225">
        <f>Year!G15</f>
        <v>17</v>
      </c>
      <c r="H8" s="225">
        <f>Year!H15</f>
        <v>18</v>
      </c>
      <c r="I8" s="226"/>
    </row>
    <row r="9" ht="52.5" customHeight="1">
      <c r="A9" s="224"/>
      <c r="B9" s="227"/>
      <c r="C9" s="227"/>
      <c r="D9" s="227"/>
      <c r="E9" s="227"/>
      <c r="F9" s="227"/>
      <c r="G9" s="227"/>
      <c r="H9" s="227"/>
      <c r="I9" s="226"/>
    </row>
    <row r="10" ht="22.5" customHeight="1">
      <c r="A10" s="224"/>
      <c r="B10" s="225">
        <f>Year!B16</f>
        <v>19</v>
      </c>
      <c r="C10" s="225">
        <f>Year!C16</f>
        <v>20</v>
      </c>
      <c r="D10" s="225">
        <f>Year!D16</f>
        <v>21</v>
      </c>
      <c r="E10" s="225">
        <f>Year!E16</f>
        <v>22</v>
      </c>
      <c r="F10" s="225">
        <f>Year!F16</f>
        <v>23</v>
      </c>
      <c r="G10" s="225">
        <f>Year!G16</f>
        <v>24</v>
      </c>
      <c r="H10" s="225">
        <f>Year!H16</f>
        <v>25</v>
      </c>
      <c r="I10" s="226"/>
    </row>
    <row r="11" ht="52.5" customHeight="1">
      <c r="A11" s="224"/>
      <c r="B11" s="227"/>
      <c r="C11" s="227"/>
      <c r="D11" s="227"/>
      <c r="E11" s="227"/>
      <c r="F11" s="227"/>
      <c r="G11" s="227"/>
      <c r="H11" s="227"/>
      <c r="I11" s="226"/>
    </row>
    <row r="12" ht="22.5" customHeight="1">
      <c r="A12" s="224"/>
      <c r="B12" s="225">
        <f>Year!B17</f>
        <v>26</v>
      </c>
      <c r="C12" s="225">
        <f>Year!C17</f>
        <v>27</v>
      </c>
      <c r="D12" s="225">
        <f>Year!D17</f>
        <v>28</v>
      </c>
      <c r="E12" s="225">
        <f>Year!E17</f>
        <v>29</v>
      </c>
      <c r="F12" s="225">
        <f>Year!F17</f>
        <v>30</v>
      </c>
      <c r="G12" s="225" t="str">
        <f>Year!G17</f>
        <v/>
      </c>
      <c r="H12" s="225" t="str">
        <f>Year!H17</f>
        <v/>
      </c>
      <c r="I12" s="226"/>
    </row>
    <row r="13" ht="52.5" customHeight="1">
      <c r="A13" s="224"/>
      <c r="B13" s="227"/>
      <c r="C13" s="227"/>
      <c r="D13" s="227"/>
      <c r="E13" s="227"/>
      <c r="F13" s="227"/>
      <c r="G13" s="227"/>
      <c r="H13" s="227"/>
      <c r="I13" s="226"/>
    </row>
    <row r="14" ht="22.5" customHeight="1">
      <c r="A14" s="224"/>
      <c r="B14" s="261" t="str">
        <f>Year!B18</f>
        <v/>
      </c>
      <c r="C14" s="261" t="str">
        <f>Year!C18</f>
        <v/>
      </c>
      <c r="D14" s="261" t="str">
        <f>Year!D18</f>
        <v/>
      </c>
      <c r="E14" s="261" t="str">
        <f>Year!E18</f>
        <v/>
      </c>
      <c r="F14" s="261" t="str">
        <f>Year!F18</f>
        <v/>
      </c>
      <c r="G14" s="261" t="str">
        <f>Year!G18</f>
        <v/>
      </c>
      <c r="H14" s="261" t="str">
        <f>Year!H18</f>
        <v/>
      </c>
      <c r="I14" s="233"/>
    </row>
    <row r="15" ht="52.5" customHeight="1">
      <c r="A15" s="224"/>
      <c r="B15" s="261"/>
      <c r="C15" s="261"/>
      <c r="D15" s="261"/>
      <c r="E15" s="261"/>
      <c r="F15" s="261"/>
      <c r="G15" s="261"/>
      <c r="H15" s="261"/>
      <c r="I15" s="233"/>
    </row>
    <row r="16" ht="22.5" customHeight="1">
      <c r="A16" s="224"/>
      <c r="B16" s="226"/>
      <c r="C16" s="226"/>
      <c r="D16" s="226"/>
      <c r="E16" s="226"/>
      <c r="F16" s="226"/>
      <c r="G16" s="226"/>
      <c r="H16" s="226"/>
      <c r="I16" s="233"/>
    </row>
    <row r="17" ht="22.5" customHeight="1">
      <c r="A17" s="224"/>
      <c r="B17" s="262" t="s">
        <v>230</v>
      </c>
      <c r="C17" s="236"/>
      <c r="D17" s="236"/>
      <c r="E17" s="236"/>
      <c r="F17" s="236"/>
      <c r="G17" s="236"/>
      <c r="H17" s="236"/>
      <c r="I17" s="226"/>
    </row>
    <row r="18" ht="22.5" customHeight="1">
      <c r="A18" s="224"/>
      <c r="B18" s="226"/>
      <c r="I18" s="226"/>
    </row>
    <row r="19" ht="22.5" customHeight="1">
      <c r="A19" s="224"/>
      <c r="I19" s="2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257" t="s">
        <v>10</v>
      </c>
      <c r="I1" s="184"/>
      <c r="J1" s="185" t="s">
        <v>10</v>
      </c>
    </row>
    <row r="2" ht="12.0" customHeight="1">
      <c r="A2" s="186"/>
      <c r="B2" s="187"/>
      <c r="C2" s="187"/>
      <c r="D2" s="187"/>
      <c r="E2" s="187"/>
      <c r="F2" s="187"/>
      <c r="G2" s="187"/>
      <c r="H2" s="187"/>
      <c r="I2" s="189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192"/>
    </row>
    <row r="4" ht="22.5" customHeight="1">
      <c r="A4" s="193"/>
      <c r="B4" s="194" t="str">
        <f>Year!J13</f>
        <v/>
      </c>
      <c r="C4" s="194" t="str">
        <f>Year!K13</f>
        <v/>
      </c>
      <c r="D4" s="194" t="str">
        <f>Year!L13</f>
        <v/>
      </c>
      <c r="E4" s="194" t="str">
        <f>Year!M13</f>
        <v/>
      </c>
      <c r="F4" s="194" t="str">
        <f>Year!N13</f>
        <v/>
      </c>
      <c r="G4" s="194">
        <f>Year!O13</f>
        <v>1</v>
      </c>
      <c r="H4" s="194">
        <f>Year!P13</f>
        <v>2</v>
      </c>
      <c r="I4" s="195"/>
    </row>
    <row r="5" ht="52.5" customHeight="1">
      <c r="A5" s="193"/>
      <c r="B5" s="196"/>
      <c r="C5" s="196"/>
      <c r="D5" s="196"/>
      <c r="E5" s="196"/>
      <c r="F5" s="196"/>
      <c r="G5" s="196"/>
      <c r="H5" s="196"/>
      <c r="I5" s="195"/>
    </row>
    <row r="6" ht="22.5" customHeight="1">
      <c r="A6" s="193"/>
      <c r="B6" s="194">
        <f>Year!J14</f>
        <v>3</v>
      </c>
      <c r="C6" s="194">
        <f>Year!K14</f>
        <v>4</v>
      </c>
      <c r="D6" s="194">
        <f>Year!L14</f>
        <v>5</v>
      </c>
      <c r="E6" s="194">
        <f>Year!M14</f>
        <v>6</v>
      </c>
      <c r="F6" s="194">
        <f>Year!N14</f>
        <v>7</v>
      </c>
      <c r="G6" s="194">
        <f>Year!O14</f>
        <v>8</v>
      </c>
      <c r="H6" s="194">
        <f>Year!P14</f>
        <v>9</v>
      </c>
      <c r="I6" s="195"/>
    </row>
    <row r="7" ht="52.5" customHeight="1">
      <c r="A7" s="193"/>
      <c r="B7" s="196"/>
      <c r="C7" s="196"/>
      <c r="D7" s="196"/>
      <c r="E7" s="196"/>
      <c r="F7" s="196"/>
      <c r="G7" s="196"/>
      <c r="H7" s="196"/>
      <c r="I7" s="195"/>
    </row>
    <row r="8" ht="22.5" customHeight="1">
      <c r="A8" s="193"/>
      <c r="B8" s="194">
        <f>Year!J15</f>
        <v>10</v>
      </c>
      <c r="C8" s="194">
        <f>Year!K15</f>
        <v>11</v>
      </c>
      <c r="D8" s="194">
        <f>Year!L15</f>
        <v>12</v>
      </c>
      <c r="E8" s="194">
        <f>Year!M15</f>
        <v>13</v>
      </c>
      <c r="F8" s="194">
        <f>Year!N15</f>
        <v>14</v>
      </c>
      <c r="G8" s="194">
        <f>Year!O15</f>
        <v>15</v>
      </c>
      <c r="H8" s="194">
        <f>Year!P15</f>
        <v>16</v>
      </c>
      <c r="I8" s="195"/>
    </row>
    <row r="9" ht="52.5" customHeight="1">
      <c r="A9" s="193"/>
      <c r="B9" s="196"/>
      <c r="C9" s="196"/>
      <c r="D9" s="196"/>
      <c r="E9" s="196"/>
      <c r="F9" s="196"/>
      <c r="G9" s="196"/>
      <c r="H9" s="196"/>
      <c r="I9" s="195"/>
    </row>
    <row r="10" ht="22.5" customHeight="1">
      <c r="A10" s="193"/>
      <c r="B10" s="194">
        <f>Year!J16</f>
        <v>17</v>
      </c>
      <c r="C10" s="194">
        <f>Year!K16</f>
        <v>18</v>
      </c>
      <c r="D10" s="194">
        <f>Year!L16</f>
        <v>19</v>
      </c>
      <c r="E10" s="194">
        <f>Year!M16</f>
        <v>20</v>
      </c>
      <c r="F10" s="194">
        <f>Year!N16</f>
        <v>21</v>
      </c>
      <c r="G10" s="194">
        <f>Year!O16</f>
        <v>22</v>
      </c>
      <c r="H10" s="194">
        <f>Year!P16</f>
        <v>23</v>
      </c>
      <c r="I10" s="195"/>
    </row>
    <row r="11" ht="52.5" customHeight="1">
      <c r="A11" s="193"/>
      <c r="B11" s="196"/>
      <c r="C11" s="196"/>
      <c r="D11" s="196"/>
      <c r="E11" s="196"/>
      <c r="F11" s="196"/>
      <c r="G11" s="196"/>
      <c r="H11" s="196"/>
      <c r="I11" s="195"/>
    </row>
    <row r="12" ht="22.5" customHeight="1">
      <c r="A12" s="193"/>
      <c r="B12" s="194">
        <f>Year!J17</f>
        <v>24</v>
      </c>
      <c r="C12" s="194">
        <f>Year!K17</f>
        <v>25</v>
      </c>
      <c r="D12" s="194">
        <f>Year!L17</f>
        <v>26</v>
      </c>
      <c r="E12" s="194">
        <f>Year!M17</f>
        <v>27</v>
      </c>
      <c r="F12" s="194">
        <f>Year!N17</f>
        <v>28</v>
      </c>
      <c r="G12" s="194">
        <f>Year!O17</f>
        <v>29</v>
      </c>
      <c r="H12" s="194">
        <f>Year!P17</f>
        <v>30</v>
      </c>
      <c r="I12" s="195"/>
    </row>
    <row r="13" ht="52.5" customHeight="1">
      <c r="A13" s="193"/>
      <c r="B13" s="196"/>
      <c r="C13" s="196"/>
      <c r="D13" s="196"/>
      <c r="E13" s="196"/>
      <c r="F13" s="196"/>
      <c r="G13" s="196"/>
      <c r="H13" s="196"/>
      <c r="I13" s="195"/>
    </row>
    <row r="14" ht="22.5" customHeight="1">
      <c r="A14" s="193"/>
      <c r="B14" s="194">
        <f>Year!J18</f>
        <v>31</v>
      </c>
      <c r="C14" s="194" t="str">
        <f>Year!K18</f>
        <v/>
      </c>
      <c r="D14" s="194" t="str">
        <f>Year!L18</f>
        <v/>
      </c>
      <c r="E14" s="194" t="str">
        <f>Year!M18</f>
        <v/>
      </c>
      <c r="F14" s="194" t="str">
        <f>Year!N18</f>
        <v/>
      </c>
      <c r="G14" s="194" t="str">
        <f>Year!O18</f>
        <v/>
      </c>
      <c r="H14" s="194" t="str">
        <f>Year!P18</f>
        <v/>
      </c>
      <c r="I14" s="195"/>
    </row>
    <row r="15" ht="52.5" customHeight="1">
      <c r="A15" s="193"/>
      <c r="B15" s="263"/>
      <c r="C15" s="263"/>
      <c r="D15" s="263"/>
      <c r="E15" s="263"/>
      <c r="F15" s="263"/>
      <c r="G15" s="263"/>
      <c r="H15" s="263"/>
      <c r="I15" s="195"/>
    </row>
    <row r="16" ht="22.5" customHeight="1">
      <c r="A16" s="193"/>
      <c r="B16" s="195"/>
      <c r="C16" s="195"/>
      <c r="D16" s="195"/>
      <c r="E16" s="195"/>
      <c r="F16" s="195"/>
      <c r="G16" s="195"/>
      <c r="H16" s="195"/>
      <c r="I16" s="203"/>
    </row>
    <row r="17" ht="22.5" customHeight="1">
      <c r="A17" s="193"/>
      <c r="B17" s="259" t="s">
        <v>230</v>
      </c>
      <c r="C17" s="236"/>
      <c r="D17" s="236"/>
      <c r="E17" s="236"/>
      <c r="F17" s="236"/>
      <c r="G17" s="236"/>
      <c r="H17" s="236"/>
      <c r="I17" s="195"/>
    </row>
    <row r="18" ht="22.5" customHeight="1">
      <c r="A18" s="193"/>
      <c r="B18" s="195"/>
      <c r="I18" s="195"/>
    </row>
    <row r="19" ht="22.5" customHeight="1">
      <c r="A19" s="193"/>
      <c r="I19" s="20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60" t="s">
        <v>11</v>
      </c>
      <c r="I1" s="216"/>
      <c r="J1" s="217" t="s">
        <v>362</v>
      </c>
    </row>
    <row r="2" ht="12.0" customHeight="1">
      <c r="A2" s="218"/>
      <c r="B2" s="219"/>
      <c r="C2" s="219"/>
      <c r="D2" s="219"/>
      <c r="E2" s="219"/>
      <c r="F2" s="219"/>
      <c r="G2" s="219"/>
      <c r="H2" s="219"/>
      <c r="I2" s="220"/>
    </row>
    <row r="3" ht="30.0" customHeight="1">
      <c r="A3" s="221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23"/>
    </row>
    <row r="4" ht="22.5" customHeight="1">
      <c r="A4" s="224"/>
      <c r="B4" s="225" t="str">
        <f>Year!R13</f>
        <v/>
      </c>
      <c r="C4" s="225">
        <f>Year!S13</f>
        <v>1</v>
      </c>
      <c r="D4" s="225">
        <f>Year!T13</f>
        <v>2</v>
      </c>
      <c r="E4" s="225">
        <f>Year!U13</f>
        <v>3</v>
      </c>
      <c r="F4" s="225">
        <f>Year!V13</f>
        <v>4</v>
      </c>
      <c r="G4" s="225">
        <f>Year!W13</f>
        <v>5</v>
      </c>
      <c r="H4" s="225">
        <f>Year!X13</f>
        <v>6</v>
      </c>
      <c r="I4" s="226"/>
    </row>
    <row r="5" ht="52.5" customHeight="1">
      <c r="A5" s="224"/>
      <c r="B5" s="227"/>
      <c r="C5" s="227"/>
      <c r="D5" s="227"/>
      <c r="E5" s="227"/>
      <c r="F5" s="227"/>
      <c r="G5" s="227"/>
      <c r="H5" s="227"/>
      <c r="I5" s="226"/>
    </row>
    <row r="6" ht="22.5" customHeight="1">
      <c r="A6" s="224"/>
      <c r="B6" s="225">
        <f>Year!R14</f>
        <v>7</v>
      </c>
      <c r="C6" s="225">
        <f>Year!S14</f>
        <v>8</v>
      </c>
      <c r="D6" s="225">
        <f>Year!T14</f>
        <v>9</v>
      </c>
      <c r="E6" s="225">
        <f>Year!U14</f>
        <v>10</v>
      </c>
      <c r="F6" s="225">
        <f>Year!V14</f>
        <v>11</v>
      </c>
      <c r="G6" s="225">
        <f>Year!W14</f>
        <v>12</v>
      </c>
      <c r="H6" s="225">
        <f>Year!X14</f>
        <v>13</v>
      </c>
      <c r="I6" s="226"/>
    </row>
    <row r="7" ht="52.5" customHeight="1">
      <c r="A7" s="224"/>
      <c r="B7" s="227"/>
      <c r="C7" s="227"/>
      <c r="D7" s="227"/>
      <c r="E7" s="227"/>
      <c r="F7" s="227"/>
      <c r="G7" s="227"/>
      <c r="H7" s="227"/>
      <c r="I7" s="226"/>
    </row>
    <row r="8" ht="22.5" customHeight="1">
      <c r="A8" s="224"/>
      <c r="B8" s="225">
        <f>Year!R15</f>
        <v>14</v>
      </c>
      <c r="C8" s="225">
        <f>Year!S15</f>
        <v>15</v>
      </c>
      <c r="D8" s="225">
        <f>Year!T15</f>
        <v>16</v>
      </c>
      <c r="E8" s="225">
        <f>Year!U15</f>
        <v>17</v>
      </c>
      <c r="F8" s="225">
        <f>Year!V15</f>
        <v>18</v>
      </c>
      <c r="G8" s="225">
        <f>Year!W15</f>
        <v>19</v>
      </c>
      <c r="H8" s="225">
        <f>Year!X15</f>
        <v>20</v>
      </c>
      <c r="I8" s="226"/>
    </row>
    <row r="9" ht="52.5" customHeight="1">
      <c r="A9" s="224"/>
      <c r="B9" s="227"/>
      <c r="C9" s="227"/>
      <c r="D9" s="227"/>
      <c r="E9" s="227"/>
      <c r="F9" s="227"/>
      <c r="G9" s="227"/>
      <c r="H9" s="227"/>
      <c r="I9" s="226"/>
    </row>
    <row r="10" ht="22.5" customHeight="1">
      <c r="A10" s="224"/>
      <c r="B10" s="225">
        <f>Year!R16</f>
        <v>21</v>
      </c>
      <c r="C10" s="225">
        <f>Year!S16</f>
        <v>22</v>
      </c>
      <c r="D10" s="225">
        <f>Year!T16</f>
        <v>23</v>
      </c>
      <c r="E10" s="225">
        <f>Year!U16</f>
        <v>24</v>
      </c>
      <c r="F10" s="225">
        <f>Year!V16</f>
        <v>25</v>
      </c>
      <c r="G10" s="225">
        <f>Year!W16</f>
        <v>26</v>
      </c>
      <c r="H10" s="225">
        <f>Year!X16</f>
        <v>27</v>
      </c>
      <c r="I10" s="226"/>
    </row>
    <row r="11" ht="52.5" customHeight="1">
      <c r="A11" s="224"/>
      <c r="B11" s="227"/>
      <c r="C11" s="227"/>
      <c r="D11" s="227"/>
      <c r="E11" s="227"/>
      <c r="F11" s="227"/>
      <c r="G11" s="227"/>
      <c r="H11" s="227"/>
      <c r="I11" s="226"/>
    </row>
    <row r="12" ht="22.5" customHeight="1">
      <c r="A12" s="224"/>
      <c r="B12" s="225">
        <f>Year!R17</f>
        <v>28</v>
      </c>
      <c r="C12" s="225">
        <f>Year!S17</f>
        <v>29</v>
      </c>
      <c r="D12" s="225">
        <f>Year!T17</f>
        <v>30</v>
      </c>
      <c r="E12" s="225" t="str">
        <f>Year!U17</f>
        <v/>
      </c>
      <c r="F12" s="225" t="str">
        <f>Year!V17</f>
        <v/>
      </c>
      <c r="G12" s="225" t="str">
        <f>Year!W17</f>
        <v/>
      </c>
      <c r="H12" s="225" t="str">
        <f>Year!X17</f>
        <v/>
      </c>
      <c r="I12" s="226"/>
    </row>
    <row r="13" ht="52.5" customHeight="1">
      <c r="A13" s="224"/>
      <c r="B13" s="227"/>
      <c r="C13" s="227"/>
      <c r="D13" s="227"/>
      <c r="E13" s="227"/>
      <c r="F13" s="227"/>
      <c r="G13" s="227"/>
      <c r="H13" s="227"/>
      <c r="I13" s="226"/>
    </row>
    <row r="14" ht="22.5" customHeight="1">
      <c r="A14" s="224"/>
      <c r="B14" s="261" t="str">
        <f>Year!R18</f>
        <v/>
      </c>
      <c r="C14" s="261" t="str">
        <f>Year!S18</f>
        <v/>
      </c>
      <c r="D14" s="261" t="str">
        <f>Year!T18</f>
        <v/>
      </c>
      <c r="E14" s="261" t="str">
        <f>Year!U18</f>
        <v/>
      </c>
      <c r="F14" s="261" t="str">
        <f>Year!V18</f>
        <v/>
      </c>
      <c r="G14" s="261" t="str">
        <f>Year!W18</f>
        <v/>
      </c>
      <c r="H14" s="261" t="str">
        <f>Year!X18</f>
        <v/>
      </c>
      <c r="I14" s="233"/>
    </row>
    <row r="15" ht="52.5" customHeight="1">
      <c r="A15" s="224"/>
      <c r="B15" s="261"/>
      <c r="C15" s="261"/>
      <c r="D15" s="261"/>
      <c r="E15" s="261"/>
      <c r="F15" s="261"/>
      <c r="G15" s="261"/>
      <c r="H15" s="261"/>
      <c r="I15" s="233"/>
    </row>
    <row r="16" ht="22.5" customHeight="1">
      <c r="A16" s="224"/>
      <c r="B16" s="226"/>
      <c r="C16" s="226"/>
      <c r="D16" s="226"/>
      <c r="E16" s="226"/>
      <c r="F16" s="226"/>
      <c r="G16" s="226"/>
      <c r="H16" s="226"/>
      <c r="I16" s="233"/>
    </row>
    <row r="17" ht="22.5" customHeight="1">
      <c r="A17" s="224"/>
      <c r="B17" s="262" t="s">
        <v>230</v>
      </c>
      <c r="C17" s="236"/>
      <c r="D17" s="236"/>
      <c r="E17" s="236"/>
      <c r="F17" s="236"/>
      <c r="G17" s="236"/>
      <c r="H17" s="236"/>
      <c r="I17" s="226"/>
    </row>
    <row r="18" ht="22.5" customHeight="1">
      <c r="A18" s="224"/>
      <c r="B18" s="226"/>
      <c r="I18" s="226"/>
    </row>
    <row r="19" ht="22.5" customHeight="1">
      <c r="A19" s="224"/>
      <c r="I19" s="2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257" t="s">
        <v>12</v>
      </c>
      <c r="I1" s="184"/>
      <c r="J1" s="185" t="s">
        <v>363</v>
      </c>
    </row>
    <row r="2" ht="12.0" customHeight="1">
      <c r="A2" s="186"/>
      <c r="B2" s="187"/>
      <c r="C2" s="187"/>
      <c r="D2" s="187"/>
      <c r="E2" s="187"/>
      <c r="F2" s="187"/>
      <c r="G2" s="187"/>
      <c r="H2" s="187"/>
      <c r="I2" s="189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192"/>
    </row>
    <row r="4" ht="22.5" customHeight="1">
      <c r="A4" s="193"/>
      <c r="B4" s="194" t="str">
        <f>Year!B22</f>
        <v/>
      </c>
      <c r="C4" s="194" t="str">
        <f>Year!C22</f>
        <v/>
      </c>
      <c r="D4" s="194" t="str">
        <f>Year!D22</f>
        <v/>
      </c>
      <c r="E4" s="194">
        <f>Year!E22</f>
        <v>1</v>
      </c>
      <c r="F4" s="194">
        <f>Year!F22</f>
        <v>2</v>
      </c>
      <c r="G4" s="194">
        <f>Year!G22</f>
        <v>3</v>
      </c>
      <c r="H4" s="194">
        <f>Year!H22</f>
        <v>4</v>
      </c>
      <c r="I4" s="195"/>
    </row>
    <row r="5" ht="52.5" customHeight="1">
      <c r="A5" s="193"/>
      <c r="B5" s="196"/>
      <c r="C5" s="196"/>
      <c r="D5" s="196"/>
      <c r="E5" s="196"/>
      <c r="F5" s="196"/>
      <c r="G5" s="196"/>
      <c r="H5" s="196"/>
      <c r="I5" s="195"/>
    </row>
    <row r="6" ht="22.5" customHeight="1">
      <c r="A6" s="193"/>
      <c r="B6" s="194">
        <f>Year!B23</f>
        <v>5</v>
      </c>
      <c r="C6" s="194">
        <f>Year!C23</f>
        <v>6</v>
      </c>
      <c r="D6" s="194">
        <f>Year!D23</f>
        <v>7</v>
      </c>
      <c r="E6" s="194">
        <f>Year!E23</f>
        <v>8</v>
      </c>
      <c r="F6" s="194">
        <f>Year!F23</f>
        <v>9</v>
      </c>
      <c r="G6" s="194">
        <f>Year!G23</f>
        <v>10</v>
      </c>
      <c r="H6" s="194">
        <f>Year!H23</f>
        <v>11</v>
      </c>
      <c r="I6" s="195"/>
    </row>
    <row r="7" ht="52.5" customHeight="1">
      <c r="A7" s="193"/>
      <c r="B7" s="196"/>
      <c r="C7" s="196"/>
      <c r="D7" s="196"/>
      <c r="E7" s="196"/>
      <c r="F7" s="196"/>
      <c r="G7" s="196"/>
      <c r="H7" s="196"/>
      <c r="I7" s="195"/>
    </row>
    <row r="8" ht="22.5" customHeight="1">
      <c r="A8" s="193"/>
      <c r="B8" s="194">
        <f>Year!B24</f>
        <v>12</v>
      </c>
      <c r="C8" s="194">
        <f>Year!C24</f>
        <v>13</v>
      </c>
      <c r="D8" s="194">
        <f>Year!D24</f>
        <v>14</v>
      </c>
      <c r="E8" s="194">
        <f>Year!E24</f>
        <v>15</v>
      </c>
      <c r="F8" s="194">
        <f>Year!F24</f>
        <v>16</v>
      </c>
      <c r="G8" s="194">
        <f>Year!G24</f>
        <v>17</v>
      </c>
      <c r="H8" s="194">
        <f>Year!H24</f>
        <v>18</v>
      </c>
      <c r="I8" s="195"/>
    </row>
    <row r="9" ht="52.5" customHeight="1">
      <c r="A9" s="193"/>
      <c r="B9" s="196"/>
      <c r="C9" s="196"/>
      <c r="D9" s="196"/>
      <c r="E9" s="196"/>
      <c r="F9" s="196"/>
      <c r="G9" s="196"/>
      <c r="H9" s="196"/>
      <c r="I9" s="195"/>
    </row>
    <row r="10" ht="22.5" customHeight="1">
      <c r="A10" s="193"/>
      <c r="B10" s="194">
        <f>Year!B25</f>
        <v>19</v>
      </c>
      <c r="C10" s="194">
        <f>Year!C25</f>
        <v>20</v>
      </c>
      <c r="D10" s="194">
        <f>Year!D25</f>
        <v>21</v>
      </c>
      <c r="E10" s="194">
        <f>Year!E25</f>
        <v>22</v>
      </c>
      <c r="F10" s="194">
        <f>Year!F25</f>
        <v>23</v>
      </c>
      <c r="G10" s="194">
        <f>Year!G25</f>
        <v>24</v>
      </c>
      <c r="H10" s="194">
        <f>Year!H25</f>
        <v>25</v>
      </c>
      <c r="I10" s="195"/>
    </row>
    <row r="11" ht="52.5" customHeight="1">
      <c r="A11" s="193"/>
      <c r="B11" s="196"/>
      <c r="C11" s="196"/>
      <c r="D11" s="196"/>
      <c r="E11" s="196"/>
      <c r="F11" s="196"/>
      <c r="G11" s="196"/>
      <c r="H11" s="196"/>
      <c r="I11" s="195"/>
    </row>
    <row r="12" ht="22.5" customHeight="1">
      <c r="A12" s="193"/>
      <c r="B12" s="194">
        <f>Year!B26</f>
        <v>26</v>
      </c>
      <c r="C12" s="194">
        <f>Year!C26</f>
        <v>27</v>
      </c>
      <c r="D12" s="194">
        <f>Year!D26</f>
        <v>28</v>
      </c>
      <c r="E12" s="194">
        <f>Year!E26</f>
        <v>29</v>
      </c>
      <c r="F12" s="194">
        <f>Year!F26</f>
        <v>30</v>
      </c>
      <c r="G12" s="194">
        <f>Year!G26</f>
        <v>31</v>
      </c>
      <c r="H12" s="194" t="str">
        <f>Year!H26</f>
        <v/>
      </c>
      <c r="I12" s="195"/>
    </row>
    <row r="13" ht="52.5" customHeight="1">
      <c r="A13" s="193"/>
      <c r="B13" s="196"/>
      <c r="C13" s="196"/>
      <c r="D13" s="196"/>
      <c r="E13" s="196"/>
      <c r="F13" s="196"/>
      <c r="G13" s="196"/>
      <c r="H13" s="196"/>
      <c r="I13" s="195"/>
    </row>
    <row r="14" ht="22.5" customHeight="1">
      <c r="A14" s="193"/>
      <c r="B14" s="194" t="str">
        <f>Year!B27</f>
        <v/>
      </c>
      <c r="C14" s="194" t="str">
        <f>Year!C27</f>
        <v/>
      </c>
      <c r="D14" s="194" t="str">
        <f>Year!D27</f>
        <v/>
      </c>
      <c r="E14" s="194" t="str">
        <f>Year!E27</f>
        <v/>
      </c>
      <c r="F14" s="194" t="str">
        <f>Year!F27</f>
        <v/>
      </c>
      <c r="G14" s="194" t="str">
        <f>Year!G27</f>
        <v/>
      </c>
      <c r="H14" s="194" t="str">
        <f>Year!H27</f>
        <v/>
      </c>
      <c r="I14" s="203"/>
    </row>
    <row r="15" ht="52.5" customHeight="1">
      <c r="A15" s="193"/>
      <c r="B15" s="204"/>
      <c r="C15" s="204"/>
      <c r="D15" s="204"/>
      <c r="E15" s="204"/>
      <c r="F15" s="204"/>
      <c r="G15" s="204"/>
      <c r="H15" s="204"/>
      <c r="I15" s="203"/>
    </row>
    <row r="16" ht="22.5" customHeight="1">
      <c r="A16" s="193"/>
      <c r="B16" s="195"/>
      <c r="C16" s="195"/>
      <c r="D16" s="195"/>
      <c r="E16" s="195"/>
      <c r="F16" s="195"/>
      <c r="G16" s="195"/>
      <c r="H16" s="195"/>
      <c r="I16" s="203"/>
    </row>
    <row r="17" ht="22.5" customHeight="1">
      <c r="A17" s="193"/>
      <c r="B17" s="259" t="s">
        <v>230</v>
      </c>
      <c r="C17" s="236"/>
      <c r="D17" s="236"/>
      <c r="E17" s="236"/>
      <c r="F17" s="236"/>
      <c r="G17" s="236"/>
      <c r="H17" s="236"/>
      <c r="I17" s="195"/>
    </row>
    <row r="18" ht="22.5" customHeight="1">
      <c r="A18" s="193"/>
      <c r="B18" s="195"/>
      <c r="I18" s="195"/>
    </row>
    <row r="19" ht="22.5" customHeight="1">
      <c r="A19" s="193"/>
      <c r="I19" s="20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60" t="s">
        <v>13</v>
      </c>
      <c r="I1" s="216"/>
      <c r="J1" s="217" t="s">
        <v>364</v>
      </c>
    </row>
    <row r="2" ht="12.0" customHeight="1">
      <c r="A2" s="218"/>
      <c r="B2" s="219"/>
      <c r="C2" s="219"/>
      <c r="D2" s="219"/>
      <c r="E2" s="219"/>
      <c r="F2" s="219"/>
      <c r="G2" s="219"/>
      <c r="H2" s="219"/>
      <c r="I2" s="220"/>
    </row>
    <row r="3" ht="30.0" customHeight="1">
      <c r="A3" s="221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23"/>
    </row>
    <row r="4" ht="22.5" customHeight="1">
      <c r="A4" s="224"/>
      <c r="B4" s="225" t="str">
        <f>Year!J22</f>
        <v/>
      </c>
      <c r="C4" s="225" t="str">
        <f>Year!K22</f>
        <v/>
      </c>
      <c r="D4" s="225" t="str">
        <f>Year!L22</f>
        <v/>
      </c>
      <c r="E4" s="225" t="str">
        <f>Year!M22</f>
        <v/>
      </c>
      <c r="F4" s="225" t="str">
        <f>Year!N22</f>
        <v/>
      </c>
      <c r="G4" s="225" t="str">
        <f>Year!O22</f>
        <v/>
      </c>
      <c r="H4" s="225">
        <f>Year!P22</f>
        <v>1</v>
      </c>
      <c r="I4" s="226"/>
    </row>
    <row r="5" ht="52.5" customHeight="1">
      <c r="A5" s="224"/>
      <c r="B5" s="227"/>
      <c r="C5" s="227"/>
      <c r="D5" s="227"/>
      <c r="E5" s="227"/>
      <c r="F5" s="227"/>
      <c r="G5" s="227"/>
      <c r="H5" s="227"/>
      <c r="I5" s="226"/>
    </row>
    <row r="6" ht="22.5" customHeight="1">
      <c r="A6" s="224"/>
      <c r="B6" s="225">
        <f>Year!J23</f>
        <v>2</v>
      </c>
      <c r="C6" s="225">
        <f>Year!K23</f>
        <v>3</v>
      </c>
      <c r="D6" s="225">
        <f>Year!L23</f>
        <v>4</v>
      </c>
      <c r="E6" s="225">
        <f>Year!M23</f>
        <v>5</v>
      </c>
      <c r="F6" s="225">
        <f>Year!N23</f>
        <v>6</v>
      </c>
      <c r="G6" s="225">
        <f>Year!O23</f>
        <v>7</v>
      </c>
      <c r="H6" s="225">
        <f>Year!P23</f>
        <v>8</v>
      </c>
      <c r="I6" s="226"/>
    </row>
    <row r="7" ht="52.5" customHeight="1">
      <c r="A7" s="224"/>
      <c r="B7" s="227"/>
      <c r="C7" s="227"/>
      <c r="D7" s="227"/>
      <c r="E7" s="227"/>
      <c r="F7" s="227"/>
      <c r="G7" s="227"/>
      <c r="H7" s="227"/>
      <c r="I7" s="226"/>
    </row>
    <row r="8" ht="22.5" customHeight="1">
      <c r="A8" s="224"/>
      <c r="B8" s="225">
        <f>Year!J24</f>
        <v>9</v>
      </c>
      <c r="C8" s="225">
        <f>Year!K24</f>
        <v>10</v>
      </c>
      <c r="D8" s="225">
        <f>Year!L24</f>
        <v>11</v>
      </c>
      <c r="E8" s="225">
        <f>Year!M24</f>
        <v>12</v>
      </c>
      <c r="F8" s="225">
        <f>Year!N24</f>
        <v>13</v>
      </c>
      <c r="G8" s="225">
        <f>Year!O24</f>
        <v>14</v>
      </c>
      <c r="H8" s="225">
        <f>Year!P24</f>
        <v>15</v>
      </c>
      <c r="I8" s="226"/>
    </row>
    <row r="9" ht="52.5" customHeight="1">
      <c r="A9" s="224"/>
      <c r="B9" s="227"/>
      <c r="C9" s="227"/>
      <c r="D9" s="227"/>
      <c r="E9" s="227"/>
      <c r="F9" s="227"/>
      <c r="G9" s="227"/>
      <c r="H9" s="227"/>
      <c r="I9" s="226"/>
    </row>
    <row r="10" ht="22.5" customHeight="1">
      <c r="A10" s="224"/>
      <c r="B10" s="225">
        <f>Year!J25</f>
        <v>16</v>
      </c>
      <c r="C10" s="225">
        <f>Year!K25</f>
        <v>17</v>
      </c>
      <c r="D10" s="225">
        <f>Year!L25</f>
        <v>18</v>
      </c>
      <c r="E10" s="225">
        <f>Year!M25</f>
        <v>19</v>
      </c>
      <c r="F10" s="225">
        <f>Year!N25</f>
        <v>20</v>
      </c>
      <c r="G10" s="225">
        <f>Year!O25</f>
        <v>21</v>
      </c>
      <c r="H10" s="225">
        <f>Year!P25</f>
        <v>22</v>
      </c>
      <c r="I10" s="226"/>
    </row>
    <row r="11" ht="52.5" customHeight="1">
      <c r="A11" s="224"/>
      <c r="B11" s="227"/>
      <c r="C11" s="227"/>
      <c r="D11" s="227"/>
      <c r="E11" s="227"/>
      <c r="F11" s="227"/>
      <c r="G11" s="227"/>
      <c r="H11" s="227"/>
      <c r="I11" s="226"/>
    </row>
    <row r="12" ht="22.5" customHeight="1">
      <c r="A12" s="224"/>
      <c r="B12" s="225">
        <f>Year!J26</f>
        <v>23</v>
      </c>
      <c r="C12" s="225">
        <f>Year!K26</f>
        <v>24</v>
      </c>
      <c r="D12" s="225">
        <f>Year!L26</f>
        <v>25</v>
      </c>
      <c r="E12" s="225">
        <f>Year!M26</f>
        <v>26</v>
      </c>
      <c r="F12" s="225">
        <f>Year!N26</f>
        <v>27</v>
      </c>
      <c r="G12" s="225">
        <f>Year!O26</f>
        <v>28</v>
      </c>
      <c r="H12" s="225">
        <f>Year!P26</f>
        <v>29</v>
      </c>
      <c r="I12" s="226"/>
    </row>
    <row r="13" ht="52.5" customHeight="1">
      <c r="A13" s="224"/>
      <c r="B13" s="227"/>
      <c r="C13" s="227"/>
      <c r="D13" s="227"/>
      <c r="E13" s="227"/>
      <c r="F13" s="227"/>
      <c r="G13" s="227"/>
      <c r="H13" s="227"/>
      <c r="I13" s="226"/>
    </row>
    <row r="14" ht="22.5" customHeight="1">
      <c r="A14" s="224"/>
      <c r="B14" s="261">
        <f>Year!J27</f>
        <v>30</v>
      </c>
      <c r="C14" s="261">
        <f>Year!K27</f>
        <v>31</v>
      </c>
      <c r="D14" s="261" t="str">
        <f>Year!L27</f>
        <v/>
      </c>
      <c r="E14" s="261" t="str">
        <f>Year!M27</f>
        <v/>
      </c>
      <c r="F14" s="261" t="str">
        <f>Year!N27</f>
        <v/>
      </c>
      <c r="G14" s="261" t="str">
        <f>Year!O27</f>
        <v/>
      </c>
      <c r="H14" s="261" t="str">
        <f>Year!P27</f>
        <v/>
      </c>
      <c r="I14" s="226"/>
    </row>
    <row r="15" ht="52.5" customHeight="1">
      <c r="A15" s="224"/>
      <c r="B15" s="264"/>
      <c r="C15" s="264"/>
      <c r="D15" s="264"/>
      <c r="E15" s="264"/>
      <c r="F15" s="264"/>
      <c r="G15" s="264"/>
      <c r="H15" s="264"/>
      <c r="I15" s="226"/>
    </row>
    <row r="16" ht="22.5" customHeight="1">
      <c r="A16" s="224"/>
      <c r="B16" s="226"/>
      <c r="C16" s="226"/>
      <c r="D16" s="226"/>
      <c r="E16" s="226"/>
      <c r="F16" s="226"/>
      <c r="G16" s="226"/>
      <c r="H16" s="226"/>
      <c r="I16" s="233"/>
    </row>
    <row r="17" ht="22.5" customHeight="1">
      <c r="A17" s="224"/>
      <c r="B17" s="262" t="s">
        <v>230</v>
      </c>
      <c r="C17" s="236"/>
      <c r="D17" s="236"/>
      <c r="E17" s="236"/>
      <c r="F17" s="236"/>
      <c r="G17" s="236"/>
      <c r="H17" s="236"/>
      <c r="I17" s="226"/>
    </row>
    <row r="18" ht="22.5" customHeight="1">
      <c r="A18" s="224"/>
      <c r="B18" s="226"/>
      <c r="I18" s="226"/>
    </row>
    <row r="19" ht="22.5" customHeight="1">
      <c r="A19" s="224"/>
      <c r="I19" s="2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257" t="s">
        <v>14</v>
      </c>
      <c r="I1" s="184"/>
      <c r="J1" s="185" t="s">
        <v>365</v>
      </c>
    </row>
    <row r="2" ht="12.0" customHeight="1">
      <c r="A2" s="186"/>
      <c r="B2" s="187"/>
      <c r="C2" s="187"/>
      <c r="D2" s="187"/>
      <c r="E2" s="187"/>
      <c r="F2" s="187"/>
      <c r="G2" s="187"/>
      <c r="H2" s="187"/>
      <c r="I2" s="189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192"/>
    </row>
    <row r="4" ht="22.5" customHeight="1">
      <c r="A4" s="193"/>
      <c r="B4" s="194" t="str">
        <f>Year!R22</f>
        <v/>
      </c>
      <c r="C4" s="194" t="str">
        <f>Year!S22</f>
        <v/>
      </c>
      <c r="D4" s="194">
        <f>Year!T22</f>
        <v>1</v>
      </c>
      <c r="E4" s="194">
        <f>Year!U22</f>
        <v>2</v>
      </c>
      <c r="F4" s="194">
        <f>Year!V22</f>
        <v>3</v>
      </c>
      <c r="G4" s="194">
        <f>Year!W22</f>
        <v>4</v>
      </c>
      <c r="H4" s="194">
        <f>Year!X22</f>
        <v>5</v>
      </c>
      <c r="I4" s="195"/>
    </row>
    <row r="5" ht="52.5" customHeight="1">
      <c r="A5" s="193"/>
      <c r="B5" s="196"/>
      <c r="C5" s="196"/>
      <c r="D5" s="196"/>
      <c r="E5" s="196"/>
      <c r="F5" s="196"/>
      <c r="G5" s="196"/>
      <c r="H5" s="196"/>
      <c r="I5" s="195"/>
    </row>
    <row r="6" ht="22.5" customHeight="1">
      <c r="A6" s="193"/>
      <c r="B6" s="194">
        <f>Year!R23</f>
        <v>6</v>
      </c>
      <c r="C6" s="194">
        <f>Year!S23</f>
        <v>7</v>
      </c>
      <c r="D6" s="194">
        <f>Year!T23</f>
        <v>8</v>
      </c>
      <c r="E6" s="194">
        <f>Year!U23</f>
        <v>9</v>
      </c>
      <c r="F6" s="194">
        <f>Year!V23</f>
        <v>10</v>
      </c>
      <c r="G6" s="194">
        <f>Year!W23</f>
        <v>11</v>
      </c>
      <c r="H6" s="194">
        <f>Year!X23</f>
        <v>12</v>
      </c>
      <c r="I6" s="195"/>
    </row>
    <row r="7" ht="52.5" customHeight="1">
      <c r="A7" s="193"/>
      <c r="B7" s="196"/>
      <c r="C7" s="196"/>
      <c r="D7" s="196"/>
      <c r="E7" s="196"/>
      <c r="F7" s="196"/>
      <c r="G7" s="196"/>
      <c r="H7" s="196"/>
      <c r="I7" s="195"/>
    </row>
    <row r="8" ht="22.5" customHeight="1">
      <c r="A8" s="193"/>
      <c r="B8" s="194">
        <f>Year!R24</f>
        <v>13</v>
      </c>
      <c r="C8" s="194">
        <f>Year!S24</f>
        <v>14</v>
      </c>
      <c r="D8" s="194">
        <f>Year!T24</f>
        <v>15</v>
      </c>
      <c r="E8" s="194">
        <f>Year!U24</f>
        <v>16</v>
      </c>
      <c r="F8" s="194">
        <f>Year!V24</f>
        <v>17</v>
      </c>
      <c r="G8" s="194">
        <f>Year!W24</f>
        <v>18</v>
      </c>
      <c r="H8" s="194">
        <f>Year!X24</f>
        <v>19</v>
      </c>
      <c r="I8" s="195"/>
    </row>
    <row r="9" ht="52.5" customHeight="1">
      <c r="A9" s="193"/>
      <c r="B9" s="196"/>
      <c r="C9" s="196"/>
      <c r="D9" s="196"/>
      <c r="E9" s="196"/>
      <c r="F9" s="196"/>
      <c r="G9" s="196"/>
      <c r="H9" s="196"/>
      <c r="I9" s="195"/>
    </row>
    <row r="10" ht="22.5" customHeight="1">
      <c r="A10" s="193"/>
      <c r="B10" s="194">
        <f>Year!R25</f>
        <v>20</v>
      </c>
      <c r="C10" s="194">
        <f>Year!S25</f>
        <v>21</v>
      </c>
      <c r="D10" s="194">
        <f>Year!T25</f>
        <v>22</v>
      </c>
      <c r="E10" s="194">
        <f>Year!U25</f>
        <v>23</v>
      </c>
      <c r="F10" s="194">
        <f>Year!V25</f>
        <v>24</v>
      </c>
      <c r="G10" s="194">
        <f>Year!W25</f>
        <v>25</v>
      </c>
      <c r="H10" s="194">
        <f>Year!X25</f>
        <v>26</v>
      </c>
      <c r="I10" s="195"/>
    </row>
    <row r="11" ht="52.5" customHeight="1">
      <c r="A11" s="193"/>
      <c r="B11" s="196"/>
      <c r="C11" s="196"/>
      <c r="D11" s="196"/>
      <c r="E11" s="196"/>
      <c r="F11" s="196"/>
      <c r="G11" s="196"/>
      <c r="H11" s="196"/>
      <c r="I11" s="195"/>
    </row>
    <row r="12" ht="22.5" customHeight="1">
      <c r="A12" s="193"/>
      <c r="B12" s="194">
        <f>Year!R26</f>
        <v>27</v>
      </c>
      <c r="C12" s="194">
        <f>Year!S26</f>
        <v>28</v>
      </c>
      <c r="D12" s="194">
        <f>Year!T26</f>
        <v>29</v>
      </c>
      <c r="E12" s="194">
        <f>Year!U26</f>
        <v>30</v>
      </c>
      <c r="F12" s="194" t="str">
        <f>Year!V26</f>
        <v/>
      </c>
      <c r="G12" s="194" t="str">
        <f>Year!W26</f>
        <v/>
      </c>
      <c r="H12" s="194" t="str">
        <f>Year!X26</f>
        <v/>
      </c>
      <c r="I12" s="195"/>
    </row>
    <row r="13" ht="52.5" customHeight="1">
      <c r="A13" s="193"/>
      <c r="B13" s="196"/>
      <c r="C13" s="196"/>
      <c r="D13" s="196"/>
      <c r="E13" s="196"/>
      <c r="F13" s="196"/>
      <c r="G13" s="196"/>
      <c r="H13" s="196"/>
      <c r="I13" s="195"/>
    </row>
    <row r="14" ht="22.5" customHeight="1">
      <c r="A14" s="193"/>
      <c r="B14" s="204" t="str">
        <f>Year!R27</f>
        <v/>
      </c>
      <c r="C14" s="204" t="str">
        <f>Year!S27</f>
        <v/>
      </c>
      <c r="D14" s="204" t="str">
        <f>Year!T27</f>
        <v/>
      </c>
      <c r="E14" s="204" t="str">
        <f>Year!U27</f>
        <v/>
      </c>
      <c r="F14" s="204" t="str">
        <f>Year!V27</f>
        <v/>
      </c>
      <c r="G14" s="204" t="str">
        <f>Year!W27</f>
        <v/>
      </c>
      <c r="H14" s="204" t="str">
        <f>Year!X27</f>
        <v/>
      </c>
      <c r="I14" s="203"/>
    </row>
    <row r="15" ht="52.5" customHeight="1">
      <c r="A15" s="193"/>
      <c r="B15" s="204"/>
      <c r="C15" s="204"/>
      <c r="D15" s="204"/>
      <c r="E15" s="204"/>
      <c r="F15" s="204"/>
      <c r="G15" s="204"/>
      <c r="H15" s="204"/>
      <c r="I15" s="203"/>
    </row>
    <row r="16" ht="22.5" customHeight="1">
      <c r="A16" s="193"/>
      <c r="B16" s="195"/>
      <c r="C16" s="195"/>
      <c r="D16" s="195"/>
      <c r="E16" s="195"/>
      <c r="F16" s="195"/>
      <c r="G16" s="195"/>
      <c r="H16" s="195"/>
      <c r="I16" s="203"/>
    </row>
    <row r="17" ht="22.5" customHeight="1">
      <c r="A17" s="193"/>
      <c r="B17" s="259" t="s">
        <v>230</v>
      </c>
      <c r="C17" s="236"/>
      <c r="D17" s="236"/>
      <c r="E17" s="236"/>
      <c r="F17" s="236"/>
      <c r="G17" s="236"/>
      <c r="H17" s="236"/>
      <c r="I17" s="195"/>
    </row>
    <row r="18" ht="22.5" customHeight="1">
      <c r="A18" s="193"/>
      <c r="B18" s="195"/>
      <c r="I18" s="195"/>
    </row>
    <row r="19" ht="22.5" customHeight="1">
      <c r="A19" s="193"/>
      <c r="I19" s="20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60" t="s">
        <v>15</v>
      </c>
      <c r="I1" s="216"/>
      <c r="J1" s="217" t="s">
        <v>366</v>
      </c>
    </row>
    <row r="2" ht="12.0" customHeight="1">
      <c r="A2" s="218"/>
      <c r="B2" s="219"/>
      <c r="C2" s="219"/>
      <c r="D2" s="219"/>
      <c r="E2" s="219"/>
      <c r="F2" s="219"/>
      <c r="G2" s="219"/>
      <c r="H2" s="219"/>
      <c r="I2" s="220"/>
    </row>
    <row r="3" ht="30.0" customHeight="1">
      <c r="A3" s="221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23"/>
    </row>
    <row r="4" ht="22.5" customHeight="1">
      <c r="A4" s="224"/>
      <c r="B4" s="225" t="str">
        <f>Year!B31</f>
        <v/>
      </c>
      <c r="C4" s="225" t="str">
        <f>Year!C31</f>
        <v/>
      </c>
      <c r="D4" s="225" t="str">
        <f>Year!D31</f>
        <v/>
      </c>
      <c r="E4" s="225" t="str">
        <f>Year!E31</f>
        <v/>
      </c>
      <c r="F4" s="225">
        <f>Year!F31</f>
        <v>1</v>
      </c>
      <c r="G4" s="225">
        <f>Year!G31</f>
        <v>2</v>
      </c>
      <c r="H4" s="225">
        <f>Year!H31</f>
        <v>3</v>
      </c>
      <c r="I4" s="226"/>
    </row>
    <row r="5" ht="52.5" customHeight="1">
      <c r="A5" s="224"/>
      <c r="B5" s="227"/>
      <c r="C5" s="227"/>
      <c r="D5" s="227"/>
      <c r="E5" s="227"/>
      <c r="F5" s="227"/>
      <c r="G5" s="227"/>
      <c r="H5" s="227"/>
      <c r="I5" s="226"/>
    </row>
    <row r="6" ht="22.5" customHeight="1">
      <c r="A6" s="224"/>
      <c r="B6" s="225">
        <f>Year!B32</f>
        <v>4</v>
      </c>
      <c r="C6" s="225">
        <f>Year!C32</f>
        <v>5</v>
      </c>
      <c r="D6" s="225">
        <f>Year!D32</f>
        <v>6</v>
      </c>
      <c r="E6" s="225">
        <f>Year!E32</f>
        <v>7</v>
      </c>
      <c r="F6" s="225">
        <f>Year!F32</f>
        <v>8</v>
      </c>
      <c r="G6" s="225">
        <f>Year!G32</f>
        <v>9</v>
      </c>
      <c r="H6" s="225">
        <f>Year!H32</f>
        <v>10</v>
      </c>
      <c r="I6" s="226"/>
    </row>
    <row r="7" ht="52.5" customHeight="1">
      <c r="A7" s="224"/>
      <c r="B7" s="227"/>
      <c r="C7" s="227"/>
      <c r="D7" s="227"/>
      <c r="E7" s="227"/>
      <c r="F7" s="227"/>
      <c r="G7" s="227"/>
      <c r="H7" s="227"/>
      <c r="I7" s="226"/>
    </row>
    <row r="8" ht="22.5" customHeight="1">
      <c r="A8" s="224"/>
      <c r="B8" s="225">
        <f>Year!B33</f>
        <v>11</v>
      </c>
      <c r="C8" s="225">
        <f>Year!C33</f>
        <v>12</v>
      </c>
      <c r="D8" s="225">
        <f>Year!D33</f>
        <v>13</v>
      </c>
      <c r="E8" s="225">
        <f>Year!E33</f>
        <v>14</v>
      </c>
      <c r="F8" s="225">
        <f>Year!F33</f>
        <v>15</v>
      </c>
      <c r="G8" s="225">
        <f>Year!G33</f>
        <v>16</v>
      </c>
      <c r="H8" s="225">
        <f>Year!H33</f>
        <v>17</v>
      </c>
      <c r="I8" s="226"/>
    </row>
    <row r="9" ht="52.5" customHeight="1">
      <c r="A9" s="224"/>
      <c r="B9" s="227"/>
      <c r="C9" s="227"/>
      <c r="D9" s="227"/>
      <c r="E9" s="227"/>
      <c r="F9" s="227"/>
      <c r="G9" s="227"/>
      <c r="H9" s="227"/>
      <c r="I9" s="226"/>
    </row>
    <row r="10" ht="22.5" customHeight="1">
      <c r="A10" s="224"/>
      <c r="B10" s="225">
        <f>Year!B34</f>
        <v>18</v>
      </c>
      <c r="C10" s="225">
        <f>Year!C34</f>
        <v>19</v>
      </c>
      <c r="D10" s="225">
        <f>Year!D34</f>
        <v>20</v>
      </c>
      <c r="E10" s="225">
        <f>Year!E34</f>
        <v>21</v>
      </c>
      <c r="F10" s="225">
        <f>Year!F34</f>
        <v>22</v>
      </c>
      <c r="G10" s="225">
        <f>Year!G34</f>
        <v>23</v>
      </c>
      <c r="H10" s="225">
        <f>Year!H34</f>
        <v>24</v>
      </c>
      <c r="I10" s="226"/>
    </row>
    <row r="11" ht="52.5" customHeight="1">
      <c r="A11" s="224"/>
      <c r="B11" s="227"/>
      <c r="C11" s="227"/>
      <c r="D11" s="227"/>
      <c r="E11" s="227"/>
      <c r="F11" s="227"/>
      <c r="G11" s="227"/>
      <c r="H11" s="227"/>
      <c r="I11" s="226"/>
    </row>
    <row r="12" ht="22.5" customHeight="1">
      <c r="A12" s="224"/>
      <c r="B12" s="225">
        <f>Year!B35</f>
        <v>25</v>
      </c>
      <c r="C12" s="225">
        <f>Year!C35</f>
        <v>26</v>
      </c>
      <c r="D12" s="225">
        <f>Year!D35</f>
        <v>27</v>
      </c>
      <c r="E12" s="225">
        <f>Year!E35</f>
        <v>28</v>
      </c>
      <c r="F12" s="225">
        <f>Year!F35</f>
        <v>29</v>
      </c>
      <c r="G12" s="225">
        <f>Year!G35</f>
        <v>30</v>
      </c>
      <c r="H12" s="225">
        <f>Year!H35</f>
        <v>31</v>
      </c>
      <c r="I12" s="226"/>
    </row>
    <row r="13" ht="52.5" customHeight="1">
      <c r="A13" s="224"/>
      <c r="B13" s="227"/>
      <c r="C13" s="227"/>
      <c r="D13" s="227"/>
      <c r="E13" s="227"/>
      <c r="F13" s="227"/>
      <c r="G13" s="227"/>
      <c r="H13" s="227"/>
      <c r="I13" s="226"/>
    </row>
    <row r="14" ht="22.5" customHeight="1">
      <c r="A14" s="224"/>
      <c r="B14" s="225" t="str">
        <f>Year!B36</f>
        <v/>
      </c>
      <c r="C14" s="225" t="str">
        <f>Year!C36</f>
        <v/>
      </c>
      <c r="D14" s="225" t="str">
        <f>Year!D36</f>
        <v/>
      </c>
      <c r="E14" s="225" t="str">
        <f>Year!E36</f>
        <v/>
      </c>
      <c r="F14" s="225" t="str">
        <f>Year!F36</f>
        <v/>
      </c>
      <c r="G14" s="225" t="str">
        <f>Year!G36</f>
        <v/>
      </c>
      <c r="H14" s="225" t="str">
        <f>Year!H36</f>
        <v/>
      </c>
      <c r="I14" s="233"/>
    </row>
    <row r="15" ht="52.5" customHeight="1">
      <c r="A15" s="224"/>
      <c r="B15" s="225"/>
      <c r="C15" s="225"/>
      <c r="D15" s="225"/>
      <c r="E15" s="225"/>
      <c r="F15" s="225"/>
      <c r="G15" s="225"/>
      <c r="H15" s="225"/>
      <c r="I15" s="233"/>
    </row>
    <row r="16" ht="22.5" customHeight="1">
      <c r="A16" s="224"/>
      <c r="B16" s="226"/>
      <c r="C16" s="226"/>
      <c r="D16" s="226"/>
      <c r="E16" s="226"/>
      <c r="F16" s="226"/>
      <c r="G16" s="226"/>
      <c r="H16" s="226"/>
      <c r="I16" s="233"/>
    </row>
    <row r="17" ht="22.5" customHeight="1">
      <c r="A17" s="224"/>
      <c r="B17" s="262" t="s">
        <v>230</v>
      </c>
      <c r="C17" s="236"/>
      <c r="D17" s="236"/>
      <c r="E17" s="236"/>
      <c r="F17" s="236"/>
      <c r="G17" s="236"/>
      <c r="H17" s="236"/>
      <c r="I17" s="226"/>
    </row>
    <row r="18" ht="22.5" customHeight="1">
      <c r="A18" s="224"/>
      <c r="B18" s="226"/>
      <c r="I18" s="226"/>
    </row>
    <row r="19" ht="22.5" customHeight="1">
      <c r="A19" s="224"/>
      <c r="I19" s="23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182"/>
      <c r="B1" s="257" t="s">
        <v>16</v>
      </c>
      <c r="I1" s="265"/>
      <c r="J1" s="185" t="s">
        <v>367</v>
      </c>
    </row>
    <row r="2" ht="12.0" customHeight="1">
      <c r="A2" s="186"/>
      <c r="B2" s="187"/>
      <c r="C2" s="187"/>
      <c r="D2" s="187"/>
      <c r="E2" s="187"/>
      <c r="F2" s="187"/>
      <c r="G2" s="187"/>
      <c r="H2" s="187"/>
      <c r="I2" s="187"/>
    </row>
    <row r="3" ht="30.0" customHeight="1">
      <c r="A3" s="190"/>
      <c r="B3" s="191" t="s">
        <v>215</v>
      </c>
      <c r="C3" s="191" t="s">
        <v>216</v>
      </c>
      <c r="D3" s="191" t="s">
        <v>217</v>
      </c>
      <c r="E3" s="191" t="s">
        <v>218</v>
      </c>
      <c r="F3" s="191" t="s">
        <v>219</v>
      </c>
      <c r="G3" s="191" t="s">
        <v>220</v>
      </c>
      <c r="H3" s="191" t="s">
        <v>221</v>
      </c>
      <c r="I3" s="266"/>
    </row>
    <row r="4" ht="22.5" customHeight="1">
      <c r="A4" s="193"/>
      <c r="B4" s="194">
        <f>Year!J31</f>
        <v>1</v>
      </c>
      <c r="C4" s="194">
        <f>Year!K31</f>
        <v>2</v>
      </c>
      <c r="D4" s="194">
        <f>Year!L31</f>
        <v>3</v>
      </c>
      <c r="E4" s="194">
        <f>Year!M31</f>
        <v>4</v>
      </c>
      <c r="F4" s="194">
        <f>Year!N31</f>
        <v>5</v>
      </c>
      <c r="G4" s="194">
        <f>Year!O31</f>
        <v>6</v>
      </c>
      <c r="H4" s="194">
        <f>Year!P31</f>
        <v>7</v>
      </c>
      <c r="I4" s="267"/>
    </row>
    <row r="5" ht="52.5" customHeight="1">
      <c r="A5" s="193"/>
      <c r="B5" s="196"/>
      <c r="C5" s="196"/>
      <c r="D5" s="196"/>
      <c r="E5" s="196"/>
      <c r="F5" s="196"/>
      <c r="G5" s="196"/>
      <c r="H5" s="196"/>
      <c r="I5" s="267"/>
    </row>
    <row r="6" ht="22.5" customHeight="1">
      <c r="A6" s="193"/>
      <c r="B6" s="194">
        <f>Year!J32</f>
        <v>8</v>
      </c>
      <c r="C6" s="194">
        <f>Year!K32</f>
        <v>9</v>
      </c>
      <c r="D6" s="194">
        <f>Year!L32</f>
        <v>10</v>
      </c>
      <c r="E6" s="194">
        <f>Year!M32</f>
        <v>11</v>
      </c>
      <c r="F6" s="194">
        <f>Year!N32</f>
        <v>12</v>
      </c>
      <c r="G6" s="194">
        <f>Year!O32</f>
        <v>13</v>
      </c>
      <c r="H6" s="194">
        <f>Year!P32</f>
        <v>14</v>
      </c>
      <c r="I6" s="267"/>
    </row>
    <row r="7" ht="52.5" customHeight="1">
      <c r="A7" s="193"/>
      <c r="B7" s="196"/>
      <c r="C7" s="196"/>
      <c r="D7" s="196"/>
      <c r="E7" s="196"/>
      <c r="F7" s="196"/>
      <c r="G7" s="196"/>
      <c r="H7" s="196"/>
      <c r="I7" s="267"/>
    </row>
    <row r="8" ht="22.5" customHeight="1">
      <c r="A8" s="193"/>
      <c r="B8" s="194">
        <f>Year!J33</f>
        <v>15</v>
      </c>
      <c r="C8" s="194">
        <f>Year!K33</f>
        <v>16</v>
      </c>
      <c r="D8" s="194">
        <f>Year!L33</f>
        <v>17</v>
      </c>
      <c r="E8" s="194">
        <f>Year!M33</f>
        <v>18</v>
      </c>
      <c r="F8" s="194">
        <f>Year!N33</f>
        <v>19</v>
      </c>
      <c r="G8" s="194">
        <f>Year!O33</f>
        <v>20</v>
      </c>
      <c r="H8" s="194">
        <f>Year!P33</f>
        <v>21</v>
      </c>
      <c r="I8" s="267"/>
    </row>
    <row r="9" ht="52.5" customHeight="1">
      <c r="A9" s="193"/>
      <c r="B9" s="196"/>
      <c r="C9" s="196"/>
      <c r="D9" s="196"/>
      <c r="E9" s="196"/>
      <c r="F9" s="196"/>
      <c r="G9" s="196"/>
      <c r="H9" s="196"/>
      <c r="I9" s="267"/>
    </row>
    <row r="10" ht="22.5" customHeight="1">
      <c r="A10" s="193"/>
      <c r="B10" s="194">
        <f>Year!J34</f>
        <v>22</v>
      </c>
      <c r="C10" s="194">
        <f>Year!K34</f>
        <v>23</v>
      </c>
      <c r="D10" s="194">
        <f>Year!L34</f>
        <v>24</v>
      </c>
      <c r="E10" s="194">
        <f>Year!M34</f>
        <v>25</v>
      </c>
      <c r="F10" s="194">
        <f>Year!N34</f>
        <v>26</v>
      </c>
      <c r="G10" s="194">
        <f>Year!O34</f>
        <v>27</v>
      </c>
      <c r="H10" s="194">
        <f>Year!P34</f>
        <v>28</v>
      </c>
      <c r="I10" s="267"/>
    </row>
    <row r="11" ht="52.5" customHeight="1">
      <c r="A11" s="193"/>
      <c r="B11" s="196"/>
      <c r="C11" s="196"/>
      <c r="D11" s="196"/>
      <c r="E11" s="196"/>
      <c r="F11" s="196"/>
      <c r="G11" s="196"/>
      <c r="H11" s="196"/>
      <c r="I11" s="267"/>
    </row>
    <row r="12" ht="22.5" customHeight="1">
      <c r="A12" s="193"/>
      <c r="B12" s="194">
        <f>Year!J35</f>
        <v>29</v>
      </c>
      <c r="C12" s="194">
        <f>Year!K35</f>
        <v>30</v>
      </c>
      <c r="D12" s="194" t="str">
        <f>Year!L35</f>
        <v/>
      </c>
      <c r="E12" s="194" t="str">
        <f>Year!M35</f>
        <v/>
      </c>
      <c r="F12" s="194" t="str">
        <f>Year!N35</f>
        <v/>
      </c>
      <c r="G12" s="194" t="str">
        <f>Year!O35</f>
        <v/>
      </c>
      <c r="H12" s="194" t="str">
        <f>Year!P35</f>
        <v/>
      </c>
      <c r="I12" s="267"/>
    </row>
    <row r="13" ht="52.5" customHeight="1">
      <c r="A13" s="193"/>
      <c r="B13" s="196"/>
      <c r="C13" s="196"/>
      <c r="D13" s="196"/>
      <c r="E13" s="196"/>
      <c r="F13" s="196"/>
      <c r="G13" s="196"/>
      <c r="H13" s="196"/>
      <c r="I13" s="267"/>
    </row>
    <row r="14" ht="22.5" customHeight="1">
      <c r="A14" s="193"/>
      <c r="B14" s="194" t="str">
        <f>Year!J36</f>
        <v/>
      </c>
      <c r="C14" s="194" t="str">
        <f>Year!K36</f>
        <v/>
      </c>
      <c r="D14" s="194" t="str">
        <f>Year!L36</f>
        <v/>
      </c>
      <c r="E14" s="194" t="str">
        <f>Year!M36</f>
        <v/>
      </c>
      <c r="F14" s="194" t="str">
        <f>Year!N36</f>
        <v/>
      </c>
      <c r="G14" s="194" t="str">
        <f>Year!O36</f>
        <v/>
      </c>
      <c r="H14" s="194" t="str">
        <f>Year!P36</f>
        <v/>
      </c>
      <c r="I14" s="268"/>
    </row>
    <row r="15" ht="52.5" customHeight="1">
      <c r="A15" s="193"/>
      <c r="B15" s="194"/>
      <c r="C15" s="194"/>
      <c r="D15" s="194"/>
      <c r="E15" s="194"/>
      <c r="F15" s="194"/>
      <c r="G15" s="194"/>
      <c r="H15" s="194"/>
      <c r="I15" s="268"/>
    </row>
    <row r="16" ht="22.5" customHeight="1">
      <c r="A16" s="193"/>
      <c r="B16" s="269"/>
      <c r="C16" s="269"/>
      <c r="D16" s="269"/>
      <c r="E16" s="269"/>
      <c r="F16" s="269"/>
      <c r="G16" s="269"/>
      <c r="H16" s="269"/>
      <c r="I16" s="268"/>
    </row>
    <row r="17" ht="22.5" customHeight="1">
      <c r="A17" s="193"/>
      <c r="B17" s="270" t="s">
        <v>230</v>
      </c>
      <c r="C17" s="236"/>
      <c r="D17" s="236"/>
      <c r="E17" s="236"/>
      <c r="F17" s="236"/>
      <c r="G17" s="236"/>
      <c r="H17" s="236"/>
      <c r="I17" s="267"/>
    </row>
    <row r="18" ht="22.5" customHeight="1">
      <c r="A18" s="193"/>
      <c r="B18" s="267"/>
      <c r="I18" s="267"/>
    </row>
    <row r="19" ht="22.5" customHeight="1">
      <c r="A19" s="193"/>
      <c r="I19" s="26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15.13"/>
    <col customWidth="1" min="9" max="9" width="3.63"/>
    <col customWidth="1" min="10" max="10" width="32.63"/>
  </cols>
  <sheetData>
    <row r="1" ht="58.5" customHeight="1">
      <c r="A1" s="214"/>
      <c r="B1" s="260" t="s">
        <v>17</v>
      </c>
      <c r="I1" s="271"/>
      <c r="J1" s="217" t="s">
        <v>368</v>
      </c>
    </row>
    <row r="2" ht="12.0" customHeight="1">
      <c r="A2" s="272"/>
      <c r="B2" s="219"/>
      <c r="C2" s="219"/>
      <c r="D2" s="219"/>
      <c r="E2" s="219"/>
      <c r="F2" s="219"/>
      <c r="G2" s="219"/>
      <c r="H2" s="219"/>
      <c r="I2" s="273"/>
    </row>
    <row r="3" ht="30.0" customHeight="1">
      <c r="A3" s="274"/>
      <c r="B3" s="222" t="s">
        <v>215</v>
      </c>
      <c r="C3" s="222" t="s">
        <v>216</v>
      </c>
      <c r="D3" s="222" t="s">
        <v>217</v>
      </c>
      <c r="E3" s="222" t="s">
        <v>218</v>
      </c>
      <c r="F3" s="222" t="s">
        <v>219</v>
      </c>
      <c r="G3" s="222" t="s">
        <v>220</v>
      </c>
      <c r="H3" s="222" t="s">
        <v>221</v>
      </c>
      <c r="I3" s="275"/>
    </row>
    <row r="4" ht="22.5" customHeight="1">
      <c r="A4" s="276"/>
      <c r="B4" s="225" t="str">
        <f>Year!R31</f>
        <v/>
      </c>
      <c r="C4" s="225" t="str">
        <f>Year!S31</f>
        <v/>
      </c>
      <c r="D4" s="225">
        <f>Year!T31</f>
        <v>1</v>
      </c>
      <c r="E4" s="225">
        <f>Year!U31</f>
        <v>2</v>
      </c>
      <c r="F4" s="225">
        <f>Year!V31</f>
        <v>3</v>
      </c>
      <c r="G4" s="225">
        <f>Year!W31</f>
        <v>4</v>
      </c>
      <c r="H4" s="225">
        <f>Year!X31</f>
        <v>5</v>
      </c>
      <c r="I4" s="277"/>
    </row>
    <row r="5" ht="52.5" customHeight="1">
      <c r="A5" s="276"/>
      <c r="B5" s="227"/>
      <c r="C5" s="227"/>
      <c r="D5" s="227"/>
      <c r="E5" s="227"/>
      <c r="F5" s="227"/>
      <c r="G5" s="227"/>
      <c r="H5" s="227"/>
      <c r="I5" s="277"/>
    </row>
    <row r="6" ht="22.5" customHeight="1">
      <c r="A6" s="276"/>
      <c r="B6" s="225">
        <f>Year!R32</f>
        <v>6</v>
      </c>
      <c r="C6" s="225">
        <f>Year!S32</f>
        <v>7</v>
      </c>
      <c r="D6" s="225">
        <f>Year!T32</f>
        <v>8</v>
      </c>
      <c r="E6" s="225">
        <f>Year!U32</f>
        <v>9</v>
      </c>
      <c r="F6" s="225">
        <f>Year!V32</f>
        <v>10</v>
      </c>
      <c r="G6" s="225">
        <f>Year!W32</f>
        <v>11</v>
      </c>
      <c r="H6" s="225">
        <f>Year!X32</f>
        <v>12</v>
      </c>
      <c r="I6" s="277"/>
    </row>
    <row r="7" ht="52.5" customHeight="1">
      <c r="A7" s="276"/>
      <c r="B7" s="227"/>
      <c r="C7" s="227"/>
      <c r="D7" s="227"/>
      <c r="E7" s="227"/>
      <c r="F7" s="227"/>
      <c r="G7" s="227"/>
      <c r="H7" s="227"/>
      <c r="I7" s="277"/>
    </row>
    <row r="8" ht="22.5" customHeight="1">
      <c r="A8" s="276"/>
      <c r="B8" s="225">
        <f>Year!R33</f>
        <v>13</v>
      </c>
      <c r="C8" s="225">
        <f>Year!S33</f>
        <v>14</v>
      </c>
      <c r="D8" s="225">
        <f>Year!T33</f>
        <v>15</v>
      </c>
      <c r="E8" s="225">
        <f>Year!U33</f>
        <v>16</v>
      </c>
      <c r="F8" s="225">
        <f>Year!V33</f>
        <v>17</v>
      </c>
      <c r="G8" s="225">
        <f>Year!W33</f>
        <v>18</v>
      </c>
      <c r="H8" s="225">
        <f>Year!X33</f>
        <v>19</v>
      </c>
      <c r="I8" s="277"/>
    </row>
    <row r="9" ht="52.5" customHeight="1">
      <c r="A9" s="276"/>
      <c r="B9" s="227"/>
      <c r="C9" s="227"/>
      <c r="D9" s="227"/>
      <c r="E9" s="227"/>
      <c r="F9" s="227"/>
      <c r="G9" s="227"/>
      <c r="H9" s="227"/>
      <c r="I9" s="277"/>
    </row>
    <row r="10" ht="22.5" customHeight="1">
      <c r="A10" s="276"/>
      <c r="B10" s="225">
        <f>Year!R34</f>
        <v>20</v>
      </c>
      <c r="C10" s="225">
        <f>Year!S34</f>
        <v>21</v>
      </c>
      <c r="D10" s="225">
        <f>Year!T34</f>
        <v>22</v>
      </c>
      <c r="E10" s="225">
        <f>Year!U34</f>
        <v>23</v>
      </c>
      <c r="F10" s="225">
        <f>Year!V34</f>
        <v>24</v>
      </c>
      <c r="G10" s="225">
        <f>Year!W34</f>
        <v>25</v>
      </c>
      <c r="H10" s="225">
        <f>Year!X34</f>
        <v>26</v>
      </c>
      <c r="I10" s="277"/>
    </row>
    <row r="11" ht="52.5" customHeight="1">
      <c r="A11" s="276"/>
      <c r="B11" s="227"/>
      <c r="C11" s="227"/>
      <c r="D11" s="227"/>
      <c r="E11" s="227"/>
      <c r="F11" s="227"/>
      <c r="G11" s="227"/>
      <c r="H11" s="227"/>
      <c r="I11" s="277"/>
    </row>
    <row r="12" ht="22.5" customHeight="1">
      <c r="A12" s="276"/>
      <c r="B12" s="225">
        <f>Year!R35</f>
        <v>27</v>
      </c>
      <c r="C12" s="225">
        <f>Year!S35</f>
        <v>28</v>
      </c>
      <c r="D12" s="225">
        <f>Year!T35</f>
        <v>29</v>
      </c>
      <c r="E12" s="225">
        <f>Year!U35</f>
        <v>30</v>
      </c>
      <c r="F12" s="225">
        <f>Year!V35</f>
        <v>31</v>
      </c>
      <c r="G12" s="225" t="str">
        <f>Year!W35</f>
        <v/>
      </c>
      <c r="H12" s="225" t="str">
        <f>Year!X35</f>
        <v/>
      </c>
      <c r="I12" s="277"/>
    </row>
    <row r="13" ht="52.5" customHeight="1">
      <c r="A13" s="276"/>
      <c r="B13" s="227"/>
      <c r="C13" s="227"/>
      <c r="D13" s="227"/>
      <c r="E13" s="227"/>
      <c r="F13" s="227"/>
      <c r="G13" s="227"/>
      <c r="H13" s="227"/>
      <c r="I13" s="277"/>
    </row>
    <row r="14" ht="22.5" customHeight="1">
      <c r="A14" s="276"/>
      <c r="B14" s="278" t="str">
        <f>Year!R36</f>
        <v/>
      </c>
      <c r="C14" s="278" t="str">
        <f>Year!S36</f>
        <v/>
      </c>
      <c r="D14" s="278" t="str">
        <f>Year!T36</f>
        <v/>
      </c>
      <c r="E14" s="278" t="str">
        <f>Year!U36</f>
        <v/>
      </c>
      <c r="F14" s="278" t="str">
        <f>Year!V36</f>
        <v/>
      </c>
      <c r="G14" s="278" t="str">
        <f>Year!W36</f>
        <v/>
      </c>
      <c r="H14" s="278" t="str">
        <f>Year!X36</f>
        <v/>
      </c>
      <c r="I14" s="279"/>
    </row>
    <row r="15" ht="52.5" customHeight="1">
      <c r="A15" s="276"/>
      <c r="B15" s="278"/>
      <c r="C15" s="278"/>
      <c r="D15" s="278"/>
      <c r="E15" s="278"/>
      <c r="F15" s="278"/>
      <c r="G15" s="278"/>
      <c r="H15" s="278"/>
      <c r="I15" s="279"/>
    </row>
    <row r="16" ht="22.5" customHeight="1">
      <c r="A16" s="276"/>
      <c r="B16" s="280"/>
      <c r="C16" s="280"/>
      <c r="D16" s="280"/>
      <c r="E16" s="280"/>
      <c r="F16" s="280"/>
      <c r="G16" s="280"/>
      <c r="H16" s="280"/>
      <c r="I16" s="279"/>
    </row>
    <row r="17" ht="22.5" customHeight="1">
      <c r="A17" s="276"/>
      <c r="B17" s="281" t="s">
        <v>230</v>
      </c>
      <c r="C17" s="236"/>
      <c r="D17" s="236"/>
      <c r="E17" s="236"/>
      <c r="F17" s="236"/>
      <c r="G17" s="236"/>
      <c r="H17" s="236"/>
      <c r="I17" s="277"/>
    </row>
    <row r="18" ht="22.5" customHeight="1">
      <c r="A18" s="276"/>
      <c r="B18" s="277"/>
      <c r="I18" s="277"/>
    </row>
    <row r="19" ht="22.5" customHeight="1">
      <c r="A19" s="276"/>
      <c r="I19" s="27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H1"/>
    <mergeCell ref="J1:J19"/>
    <mergeCell ref="B17:H17"/>
    <mergeCell ref="B18:H1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hidden="1" min="2" max="2" width="11.75"/>
    <col customWidth="1" min="3" max="6" width="12.63"/>
    <col customWidth="1" min="7" max="7" width="17.38"/>
    <col customWidth="1" min="8" max="8" width="3.88"/>
  </cols>
  <sheetData>
    <row r="1" ht="22.5" customHeight="1">
      <c r="A1" s="65"/>
      <c r="B1" s="282" t="s">
        <v>369</v>
      </c>
      <c r="C1" s="160" t="s">
        <v>370</v>
      </c>
      <c r="D1" s="160" t="s">
        <v>371</v>
      </c>
      <c r="E1" s="160" t="s">
        <v>372</v>
      </c>
      <c r="F1" s="160" t="s">
        <v>373</v>
      </c>
      <c r="G1" s="282" t="s">
        <v>374</v>
      </c>
      <c r="H1" s="65"/>
    </row>
    <row r="2" ht="22.5" customHeight="1">
      <c r="A2" s="65"/>
      <c r="B2" s="283" t="s">
        <v>375</v>
      </c>
      <c r="C2" s="284">
        <v>50.0</v>
      </c>
      <c r="D2" s="284">
        <v>50.0</v>
      </c>
      <c r="E2" s="284">
        <v>50.0</v>
      </c>
      <c r="F2" s="285">
        <v>775850.0</v>
      </c>
      <c r="G2" s="283" t="s">
        <v>376</v>
      </c>
      <c r="H2" s="65"/>
    </row>
    <row r="3" ht="22.5" customHeight="1">
      <c r="A3" s="65"/>
      <c r="B3" s="286" t="s">
        <v>377</v>
      </c>
      <c r="C3" s="136">
        <v>40.0</v>
      </c>
      <c r="D3" s="99">
        <v>40.0</v>
      </c>
      <c r="E3" s="99">
        <v>30.0</v>
      </c>
      <c r="F3" s="136">
        <v>263990.0</v>
      </c>
      <c r="G3" s="54" t="s">
        <v>378</v>
      </c>
      <c r="H3" s="65"/>
    </row>
    <row r="4" ht="22.5" customHeight="1">
      <c r="A4" s="65"/>
      <c r="B4" s="287" t="s">
        <v>379</v>
      </c>
      <c r="C4" s="288">
        <v>40.0</v>
      </c>
      <c r="D4" s="289">
        <v>30.0</v>
      </c>
      <c r="E4" s="289">
        <v>30.0</v>
      </c>
      <c r="F4" s="288">
        <v>179090.0</v>
      </c>
      <c r="G4" s="290" t="s">
        <v>179</v>
      </c>
      <c r="H4" s="65"/>
    </row>
    <row r="5" ht="22.5" customHeight="1">
      <c r="A5" s="65"/>
      <c r="B5" s="286" t="s">
        <v>380</v>
      </c>
      <c r="C5" s="136">
        <v>30.0</v>
      </c>
      <c r="D5" s="99">
        <v>40.0</v>
      </c>
      <c r="E5" s="99">
        <v>30.0</v>
      </c>
      <c r="F5" s="136">
        <v>189390.0</v>
      </c>
      <c r="G5" s="54" t="s">
        <v>179</v>
      </c>
      <c r="H5" s="65"/>
    </row>
    <row r="6" ht="22.5" customHeight="1">
      <c r="A6" s="65"/>
      <c r="B6" s="286" t="s">
        <v>381</v>
      </c>
      <c r="C6" s="136">
        <v>45.0</v>
      </c>
      <c r="D6" s="99">
        <v>30.0</v>
      </c>
      <c r="E6" s="99">
        <v>0.0</v>
      </c>
      <c r="F6" s="136">
        <v>240510.0</v>
      </c>
      <c r="G6" s="54" t="s">
        <v>179</v>
      </c>
      <c r="H6" s="65"/>
    </row>
    <row r="7" ht="22.5" customHeight="1">
      <c r="A7" s="65"/>
      <c r="B7" s="54" t="s">
        <v>382</v>
      </c>
      <c r="C7" s="99">
        <v>30.0</v>
      </c>
      <c r="D7" s="99">
        <v>45.0</v>
      </c>
      <c r="E7" s="99">
        <v>0.0</v>
      </c>
      <c r="F7" s="136">
        <v>263510.0</v>
      </c>
      <c r="G7" s="54" t="s">
        <v>179</v>
      </c>
      <c r="H7" s="65"/>
    </row>
    <row r="8" ht="22.5" customHeight="1">
      <c r="A8" s="65"/>
      <c r="B8" s="286" t="s">
        <v>383</v>
      </c>
      <c r="C8" s="136">
        <v>40.0</v>
      </c>
      <c r="D8" s="99">
        <v>40.0</v>
      </c>
      <c r="E8" s="99">
        <v>0.0</v>
      </c>
      <c r="F8" s="136">
        <v>249610.0</v>
      </c>
      <c r="G8" s="54" t="s">
        <v>384</v>
      </c>
      <c r="H8" s="65"/>
    </row>
    <row r="9" ht="22.5" customHeight="1">
      <c r="A9" s="65"/>
      <c r="B9" s="54" t="s">
        <v>385</v>
      </c>
      <c r="C9" s="99">
        <v>40.0</v>
      </c>
      <c r="D9" s="99">
        <v>20.0</v>
      </c>
      <c r="E9" s="99">
        <v>0.0</v>
      </c>
      <c r="F9" s="136">
        <v>133610.0</v>
      </c>
      <c r="G9" s="54" t="s">
        <v>386</v>
      </c>
      <c r="H9" s="65"/>
    </row>
    <row r="10" ht="22.5" customHeight="1">
      <c r="A10" s="65"/>
      <c r="B10" s="291" t="s">
        <v>387</v>
      </c>
      <c r="C10" s="292">
        <v>20.0</v>
      </c>
      <c r="D10" s="292">
        <v>20.0</v>
      </c>
      <c r="E10" s="292">
        <v>30.0</v>
      </c>
      <c r="F10" s="293">
        <v>44890.0</v>
      </c>
      <c r="G10" s="291" t="s">
        <v>178</v>
      </c>
      <c r="H10" s="65"/>
    </row>
    <row r="11" ht="22.5" customHeight="1">
      <c r="A11" s="65"/>
      <c r="B11" s="54" t="s">
        <v>388</v>
      </c>
      <c r="C11" s="99">
        <v>30.0</v>
      </c>
      <c r="D11" s="99">
        <v>20.0</v>
      </c>
      <c r="E11" s="99">
        <v>0.0</v>
      </c>
      <c r="F11" s="136">
        <v>59010.0</v>
      </c>
      <c r="G11" s="54" t="s">
        <v>178</v>
      </c>
      <c r="H11" s="65"/>
    </row>
    <row r="12" ht="22.5" customHeight="1">
      <c r="A12" s="65"/>
      <c r="B12" s="54" t="s">
        <v>389</v>
      </c>
      <c r="C12" s="99">
        <v>20.0</v>
      </c>
      <c r="D12" s="99">
        <v>30.0</v>
      </c>
      <c r="E12" s="99">
        <v>0.0</v>
      </c>
      <c r="F12" s="136">
        <v>61610.0</v>
      </c>
      <c r="G12" s="54" t="s">
        <v>178</v>
      </c>
      <c r="H12" s="65"/>
    </row>
    <row r="13" ht="22.5" customHeight="1">
      <c r="A13" s="294"/>
      <c r="B13" s="212"/>
      <c r="C13" s="295"/>
      <c r="D13" s="295"/>
      <c r="E13" s="295"/>
      <c r="F13" s="295"/>
      <c r="G13" s="296"/>
      <c r="H13" s="29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97" t="s">
        <v>390</v>
      </c>
      <c r="B1" s="297" t="s">
        <v>47</v>
      </c>
      <c r="C1" s="297" t="s">
        <v>48</v>
      </c>
      <c r="D1" s="297" t="s">
        <v>49</v>
      </c>
      <c r="E1" s="297" t="s">
        <v>50</v>
      </c>
      <c r="F1" s="297" t="s">
        <v>51</v>
      </c>
      <c r="G1" s="297" t="s">
        <v>391</v>
      </c>
      <c r="H1" s="298" t="s">
        <v>392</v>
      </c>
      <c r="I1" s="299"/>
      <c r="J1" s="297" t="s">
        <v>390</v>
      </c>
      <c r="K1" s="297" t="s">
        <v>64</v>
      </c>
      <c r="L1" s="297" t="s">
        <v>65</v>
      </c>
      <c r="M1" s="297" t="s">
        <v>4</v>
      </c>
      <c r="N1" s="297" t="s">
        <v>66</v>
      </c>
      <c r="O1" s="297" t="s">
        <v>67</v>
      </c>
      <c r="P1" s="297" t="s">
        <v>391</v>
      </c>
      <c r="Q1" s="298" t="s">
        <v>392</v>
      </c>
      <c r="R1" s="299"/>
      <c r="S1" s="297" t="s">
        <v>390</v>
      </c>
      <c r="T1" s="297" t="s">
        <v>76</v>
      </c>
      <c r="U1" s="297" t="s">
        <v>77</v>
      </c>
      <c r="V1" s="297" t="s">
        <v>78</v>
      </c>
      <c r="W1" s="297" t="s">
        <v>79</v>
      </c>
      <c r="X1" s="297" t="s">
        <v>391</v>
      </c>
      <c r="Y1" s="298" t="s">
        <v>392</v>
      </c>
      <c r="Z1" s="299"/>
    </row>
    <row r="2">
      <c r="A2" s="300">
        <v>0.0</v>
      </c>
      <c r="B2" s="300">
        <v>0.0</v>
      </c>
      <c r="C2" s="300">
        <v>0.0</v>
      </c>
      <c r="D2" s="300">
        <v>0.0</v>
      </c>
      <c r="E2" s="300">
        <v>0.0</v>
      </c>
      <c r="F2" s="300">
        <v>0.0</v>
      </c>
      <c r="G2" s="300">
        <v>0.0</v>
      </c>
      <c r="H2" s="301"/>
      <c r="I2" s="299"/>
      <c r="J2" s="300">
        <v>0.0</v>
      </c>
      <c r="K2" s="300">
        <v>0.0</v>
      </c>
      <c r="L2" s="300">
        <v>0.0</v>
      </c>
      <c r="M2" s="300">
        <v>0.0</v>
      </c>
      <c r="N2" s="300">
        <v>0.0</v>
      </c>
      <c r="O2" s="300">
        <v>0.0</v>
      </c>
      <c r="P2" s="300">
        <v>0.0</v>
      </c>
      <c r="Q2" s="299"/>
      <c r="R2" s="299"/>
      <c r="S2" s="300">
        <v>0.0</v>
      </c>
      <c r="T2" s="300">
        <v>0.0</v>
      </c>
      <c r="U2" s="300">
        <v>0.0</v>
      </c>
      <c r="V2" s="300">
        <v>0.0</v>
      </c>
      <c r="W2" s="300">
        <v>0.0</v>
      </c>
      <c r="X2" s="300">
        <v>0.0</v>
      </c>
      <c r="Y2" s="299"/>
      <c r="Z2" s="299"/>
    </row>
    <row r="3">
      <c r="A3" s="302">
        <v>1.0</v>
      </c>
      <c r="B3" s="302">
        <v>1.0</v>
      </c>
      <c r="C3" s="302">
        <v>1.0</v>
      </c>
      <c r="D3" s="302">
        <v>1.0</v>
      </c>
      <c r="E3" s="302">
        <v>1.0</v>
      </c>
      <c r="F3" s="302">
        <v>1.0</v>
      </c>
      <c r="G3" s="302">
        <v>250.0</v>
      </c>
      <c r="H3" s="301"/>
      <c r="I3" s="299"/>
      <c r="J3" s="302">
        <v>1.0</v>
      </c>
      <c r="K3" s="302">
        <v>1.0</v>
      </c>
      <c r="L3" s="302">
        <v>1.0</v>
      </c>
      <c r="M3" s="302">
        <v>1.0</v>
      </c>
      <c r="N3" s="302">
        <v>1.0</v>
      </c>
      <c r="O3" s="302">
        <v>1.0</v>
      </c>
      <c r="P3" s="302">
        <v>250.0</v>
      </c>
      <c r="Q3" s="299"/>
      <c r="R3" s="299"/>
      <c r="S3" s="302">
        <v>1.0</v>
      </c>
      <c r="T3" s="302">
        <v>1.0</v>
      </c>
      <c r="U3" s="302">
        <v>1.0</v>
      </c>
      <c r="V3" s="302">
        <v>1.0</v>
      </c>
      <c r="W3" s="302">
        <v>1.0</v>
      </c>
      <c r="X3" s="302">
        <v>100.0</v>
      </c>
      <c r="Y3" s="299"/>
      <c r="Z3" s="299"/>
    </row>
    <row r="4">
      <c r="A4" s="302">
        <v>2.0</v>
      </c>
      <c r="B4" s="302">
        <v>1.0</v>
      </c>
      <c r="C4" s="302">
        <v>1.0</v>
      </c>
      <c r="D4" s="302">
        <v>1.0</v>
      </c>
      <c r="E4" s="302">
        <v>1.0</v>
      </c>
      <c r="F4" s="302">
        <v>2.0</v>
      </c>
      <c r="G4" s="302">
        <v>530.0</v>
      </c>
      <c r="H4" s="302">
        <v>280.0</v>
      </c>
      <c r="I4" s="299"/>
      <c r="J4" s="302">
        <v>2.0</v>
      </c>
      <c r="K4" s="302">
        <f t="shared" ref="K4:M4" si="1">K3</f>
        <v>1</v>
      </c>
      <c r="L4" s="302">
        <f t="shared" si="1"/>
        <v>1</v>
      </c>
      <c r="M4" s="302">
        <f t="shared" si="1"/>
        <v>1</v>
      </c>
      <c r="N4" s="302">
        <v>2.0</v>
      </c>
      <c r="O4" s="302">
        <v>2.0</v>
      </c>
      <c r="P4" s="302">
        <v>530.0</v>
      </c>
      <c r="Q4" s="302">
        <v>280.0</v>
      </c>
      <c r="R4" s="299"/>
      <c r="S4" s="302">
        <v>2.0</v>
      </c>
      <c r="T4" s="302">
        <f t="shared" ref="T4:V4" si="2">T3</f>
        <v>1</v>
      </c>
      <c r="U4" s="302">
        <f t="shared" si="2"/>
        <v>1</v>
      </c>
      <c r="V4" s="302">
        <f t="shared" si="2"/>
        <v>1</v>
      </c>
      <c r="W4" s="302">
        <v>2.0</v>
      </c>
      <c r="X4" s="302">
        <v>210.0</v>
      </c>
      <c r="Y4" s="302">
        <v>110.0</v>
      </c>
      <c r="Z4" s="299"/>
    </row>
    <row r="5">
      <c r="A5" s="302">
        <v>3.0</v>
      </c>
      <c r="B5" s="300">
        <v>1.0</v>
      </c>
      <c r="C5" s="302">
        <f t="shared" ref="C5:C6" si="5">C4</f>
        <v>1</v>
      </c>
      <c r="D5" s="302">
        <v>2.0</v>
      </c>
      <c r="E5" s="302">
        <v>2.0</v>
      </c>
      <c r="F5" s="302">
        <f>F4</f>
        <v>2</v>
      </c>
      <c r="G5" s="302">
        <v>830.0</v>
      </c>
      <c r="H5" s="302">
        <v>300.0</v>
      </c>
      <c r="I5" s="299"/>
      <c r="J5" s="302">
        <v>3.0</v>
      </c>
      <c r="K5" s="302">
        <f>K4</f>
        <v>1</v>
      </c>
      <c r="L5" s="302">
        <v>2.0</v>
      </c>
      <c r="M5" s="302">
        <f t="shared" ref="M5:O5" si="3">M4</f>
        <v>1</v>
      </c>
      <c r="N5" s="302">
        <f t="shared" si="3"/>
        <v>2</v>
      </c>
      <c r="O5" s="302">
        <f t="shared" si="3"/>
        <v>2</v>
      </c>
      <c r="P5" s="302">
        <v>840.0</v>
      </c>
      <c r="Q5" s="302">
        <v>310.0</v>
      </c>
      <c r="R5" s="299"/>
      <c r="S5" s="302">
        <v>3.0</v>
      </c>
      <c r="T5" s="302">
        <f t="shared" ref="T5:U5" si="4">T4</f>
        <v>1</v>
      </c>
      <c r="U5" s="302">
        <f t="shared" si="4"/>
        <v>1</v>
      </c>
      <c r="V5" s="302">
        <v>2.0</v>
      </c>
      <c r="W5" s="302">
        <f>W4</f>
        <v>2</v>
      </c>
      <c r="X5" s="302">
        <v>210.0</v>
      </c>
      <c r="Y5" s="302">
        <v>0.0</v>
      </c>
      <c r="Z5" s="299"/>
    </row>
    <row r="6">
      <c r="A6" s="302">
        <v>4.0</v>
      </c>
      <c r="B6" s="302">
        <v>2.0</v>
      </c>
      <c r="C6" s="302">
        <f t="shared" si="5"/>
        <v>1</v>
      </c>
      <c r="D6" s="302">
        <f t="shared" ref="D6:F6" si="6">D5</f>
        <v>2</v>
      </c>
      <c r="E6" s="302">
        <f t="shared" si="6"/>
        <v>2</v>
      </c>
      <c r="F6" s="302">
        <f t="shared" si="6"/>
        <v>2</v>
      </c>
      <c r="G6" s="302">
        <v>1170.0</v>
      </c>
      <c r="H6" s="302">
        <v>340.0</v>
      </c>
      <c r="I6" s="299"/>
      <c r="J6" s="302">
        <v>4.0</v>
      </c>
      <c r="K6" s="302">
        <v>2.0</v>
      </c>
      <c r="L6" s="302">
        <f t="shared" ref="L6:O6" si="7">L5</f>
        <v>2</v>
      </c>
      <c r="M6" s="302">
        <f t="shared" si="7"/>
        <v>1</v>
      </c>
      <c r="N6" s="302">
        <f t="shared" si="7"/>
        <v>2</v>
      </c>
      <c r="O6" s="302">
        <f t="shared" si="7"/>
        <v>2</v>
      </c>
      <c r="P6" s="302">
        <v>1180.0</v>
      </c>
      <c r="Q6" s="302">
        <v>340.0</v>
      </c>
      <c r="R6" s="299"/>
      <c r="S6" s="302">
        <v>4.0</v>
      </c>
      <c r="T6" s="302">
        <v>2.0</v>
      </c>
      <c r="U6" s="302">
        <f t="shared" ref="U6:W6" si="8">U5</f>
        <v>1</v>
      </c>
      <c r="V6" s="302">
        <f t="shared" si="8"/>
        <v>2</v>
      </c>
      <c r="W6" s="302">
        <f t="shared" si="8"/>
        <v>2</v>
      </c>
      <c r="X6" s="302">
        <v>460.0</v>
      </c>
      <c r="Y6" s="302">
        <v>250.0</v>
      </c>
      <c r="Z6" s="299"/>
    </row>
    <row r="7">
      <c r="A7" s="302">
        <v>5.0</v>
      </c>
      <c r="B7" s="300">
        <v>2.0</v>
      </c>
      <c r="C7" s="302">
        <v>2.0</v>
      </c>
      <c r="D7" s="302">
        <f t="shared" ref="D7:F7" si="9">D6</f>
        <v>2</v>
      </c>
      <c r="E7" s="302">
        <f t="shared" si="9"/>
        <v>2</v>
      </c>
      <c r="F7" s="302">
        <f t="shared" si="9"/>
        <v>2</v>
      </c>
      <c r="G7" s="302">
        <v>1540.0</v>
      </c>
      <c r="H7" s="302">
        <v>370.0</v>
      </c>
      <c r="I7" s="299"/>
      <c r="J7" s="302">
        <v>5.0</v>
      </c>
      <c r="K7" s="302">
        <f t="shared" ref="K7:L7" si="10">K6</f>
        <v>2</v>
      </c>
      <c r="L7" s="302">
        <f t="shared" si="10"/>
        <v>2</v>
      </c>
      <c r="M7" s="302">
        <v>2.0</v>
      </c>
      <c r="N7" s="302">
        <f t="shared" ref="N7:O7" si="11">N6</f>
        <v>2</v>
      </c>
      <c r="O7" s="302">
        <f t="shared" si="11"/>
        <v>2</v>
      </c>
      <c r="P7" s="302">
        <v>1560.0</v>
      </c>
      <c r="Q7" s="302">
        <v>380.0</v>
      </c>
      <c r="R7" s="299"/>
      <c r="S7" s="302">
        <v>5.0</v>
      </c>
      <c r="T7" s="302">
        <f>T6</f>
        <v>2</v>
      </c>
      <c r="U7" s="302">
        <v>2.0</v>
      </c>
      <c r="V7" s="302">
        <f t="shared" ref="V7:W7" si="12">V6</f>
        <v>2</v>
      </c>
      <c r="W7" s="302">
        <f t="shared" si="12"/>
        <v>2</v>
      </c>
      <c r="X7" s="302">
        <v>600.0</v>
      </c>
      <c r="Y7" s="302">
        <v>140.0</v>
      </c>
      <c r="Z7" s="299"/>
    </row>
    <row r="8">
      <c r="A8" s="303">
        <v>6.0</v>
      </c>
      <c r="B8" s="303">
        <v>3.0</v>
      </c>
      <c r="C8" s="303">
        <v>3.0</v>
      </c>
      <c r="D8" s="303">
        <v>3.0</v>
      </c>
      <c r="E8" s="303">
        <v>3.0</v>
      </c>
      <c r="F8" s="303">
        <v>3.0</v>
      </c>
      <c r="G8" s="303">
        <v>1950.0</v>
      </c>
      <c r="H8" s="302">
        <v>410.0</v>
      </c>
      <c r="I8" s="299"/>
      <c r="J8" s="303">
        <v>6.0</v>
      </c>
      <c r="K8" s="303">
        <v>3.0</v>
      </c>
      <c r="L8" s="303">
        <v>3.0</v>
      </c>
      <c r="M8" s="303">
        <v>3.0</v>
      </c>
      <c r="N8" s="303">
        <v>3.0</v>
      </c>
      <c r="O8" s="303">
        <v>3.0</v>
      </c>
      <c r="P8" s="303">
        <v>1980.0</v>
      </c>
      <c r="Q8" s="302">
        <v>420.0</v>
      </c>
      <c r="R8" s="299"/>
      <c r="S8" s="303">
        <v>6.0</v>
      </c>
      <c r="T8" s="303">
        <v>3.0</v>
      </c>
      <c r="U8" s="303">
        <v>3.0</v>
      </c>
      <c r="V8" s="303">
        <v>3.0</v>
      </c>
      <c r="W8" s="303">
        <v>3.0</v>
      </c>
      <c r="X8" s="303">
        <v>760.0</v>
      </c>
      <c r="Y8" s="302">
        <v>160.0</v>
      </c>
      <c r="Z8" s="299"/>
    </row>
    <row r="9">
      <c r="A9" s="302">
        <v>7.0</v>
      </c>
      <c r="B9" s="300">
        <v>3.0</v>
      </c>
      <c r="C9" s="302">
        <f t="shared" ref="C9:E9" si="13">C8</f>
        <v>3</v>
      </c>
      <c r="D9" s="302">
        <f t="shared" si="13"/>
        <v>3</v>
      </c>
      <c r="E9" s="302">
        <f t="shared" si="13"/>
        <v>3</v>
      </c>
      <c r="F9" s="302">
        <v>4.0</v>
      </c>
      <c r="G9" s="302">
        <v>2400.0</v>
      </c>
      <c r="H9" s="302">
        <v>450.0</v>
      </c>
      <c r="I9" s="299"/>
      <c r="J9" s="302">
        <v>7.0</v>
      </c>
      <c r="K9" s="302">
        <f t="shared" ref="K9:M9" si="14">K8</f>
        <v>3</v>
      </c>
      <c r="L9" s="302">
        <f t="shared" si="14"/>
        <v>3</v>
      </c>
      <c r="M9" s="302">
        <f t="shared" si="14"/>
        <v>3</v>
      </c>
      <c r="N9" s="302">
        <v>4.0</v>
      </c>
      <c r="O9" s="302">
        <v>4.0</v>
      </c>
      <c r="P9" s="302">
        <v>2440.0</v>
      </c>
      <c r="Q9" s="302">
        <v>460.0</v>
      </c>
      <c r="R9" s="299"/>
      <c r="S9" s="302">
        <v>7.0</v>
      </c>
      <c r="T9" s="302">
        <f t="shared" ref="T9:V9" si="15">T8</f>
        <v>3</v>
      </c>
      <c r="U9" s="302">
        <f t="shared" si="15"/>
        <v>3</v>
      </c>
      <c r="V9" s="302">
        <f t="shared" si="15"/>
        <v>3</v>
      </c>
      <c r="W9" s="302">
        <v>4.0</v>
      </c>
      <c r="X9" s="302">
        <v>930.0</v>
      </c>
      <c r="Y9" s="302">
        <v>170.0</v>
      </c>
      <c r="Z9" s="299"/>
    </row>
    <row r="10">
      <c r="A10" s="302">
        <v>8.0</v>
      </c>
      <c r="B10" s="300">
        <v>3.0</v>
      </c>
      <c r="C10" s="302">
        <f t="shared" ref="C10:C11" si="18">C9</f>
        <v>3</v>
      </c>
      <c r="D10" s="302">
        <v>4.0</v>
      </c>
      <c r="E10" s="302">
        <v>4.0</v>
      </c>
      <c r="F10" s="302">
        <f>F9</f>
        <v>4</v>
      </c>
      <c r="G10" s="302">
        <v>2900.0</v>
      </c>
      <c r="H10" s="302">
        <v>500.0</v>
      </c>
      <c r="I10" s="299"/>
      <c r="J10" s="302">
        <v>8.0</v>
      </c>
      <c r="K10" s="302">
        <f>K9</f>
        <v>3</v>
      </c>
      <c r="L10" s="302">
        <v>4.0</v>
      </c>
      <c r="M10" s="302">
        <f t="shared" ref="M10:O10" si="16">M9</f>
        <v>3</v>
      </c>
      <c r="N10" s="302">
        <f t="shared" si="16"/>
        <v>4</v>
      </c>
      <c r="O10" s="302">
        <f t="shared" si="16"/>
        <v>4</v>
      </c>
      <c r="P10" s="302">
        <v>2950.0</v>
      </c>
      <c r="Q10" s="302">
        <v>510.0</v>
      </c>
      <c r="R10" s="299"/>
      <c r="S10" s="302">
        <v>8.0</v>
      </c>
      <c r="T10" s="302">
        <f t="shared" ref="T10:U10" si="17">T9</f>
        <v>3</v>
      </c>
      <c r="U10" s="302">
        <f t="shared" si="17"/>
        <v>3</v>
      </c>
      <c r="V10" s="302">
        <v>4.0</v>
      </c>
      <c r="W10" s="302">
        <f>W9</f>
        <v>4</v>
      </c>
      <c r="X10" s="302">
        <v>1120.0</v>
      </c>
      <c r="Y10" s="302">
        <v>190.0</v>
      </c>
      <c r="Z10" s="299"/>
    </row>
    <row r="11">
      <c r="A11" s="302">
        <v>9.0</v>
      </c>
      <c r="B11" s="302">
        <v>4.0</v>
      </c>
      <c r="C11" s="302">
        <f t="shared" si="18"/>
        <v>3</v>
      </c>
      <c r="D11" s="302">
        <f t="shared" ref="D11:F11" si="19">D10</f>
        <v>4</v>
      </c>
      <c r="E11" s="302">
        <f t="shared" si="19"/>
        <v>4</v>
      </c>
      <c r="F11" s="302">
        <f t="shared" si="19"/>
        <v>4</v>
      </c>
      <c r="G11" s="302">
        <v>3450.0</v>
      </c>
      <c r="H11" s="302">
        <v>550.0</v>
      </c>
      <c r="I11" s="299"/>
      <c r="J11" s="302">
        <v>9.0</v>
      </c>
      <c r="K11" s="302">
        <v>4.0</v>
      </c>
      <c r="L11" s="302">
        <f t="shared" ref="L11:O11" si="20">L10</f>
        <v>4</v>
      </c>
      <c r="M11" s="302">
        <f t="shared" si="20"/>
        <v>3</v>
      </c>
      <c r="N11" s="302">
        <f t="shared" si="20"/>
        <v>4</v>
      </c>
      <c r="O11" s="302">
        <f t="shared" si="20"/>
        <v>4</v>
      </c>
      <c r="P11" s="302">
        <v>3520.0</v>
      </c>
      <c r="Q11" s="302">
        <v>570.0</v>
      </c>
      <c r="R11" s="299"/>
      <c r="S11" s="302">
        <v>9.0</v>
      </c>
      <c r="T11" s="302">
        <v>4.0</v>
      </c>
      <c r="U11" s="302">
        <f t="shared" ref="U11:W11" si="21">U10</f>
        <v>3</v>
      </c>
      <c r="V11" s="302">
        <f t="shared" si="21"/>
        <v>4</v>
      </c>
      <c r="W11" s="302">
        <f t="shared" si="21"/>
        <v>4</v>
      </c>
      <c r="X11" s="302">
        <v>1320.0</v>
      </c>
      <c r="Y11" s="302">
        <v>200.0</v>
      </c>
      <c r="Z11" s="299"/>
    </row>
    <row r="12">
      <c r="A12" s="302">
        <v>10.0</v>
      </c>
      <c r="B12" s="300">
        <v>4.0</v>
      </c>
      <c r="C12" s="302">
        <v>4.0</v>
      </c>
      <c r="D12" s="302">
        <f t="shared" ref="D12:F12" si="22">D11</f>
        <v>4</v>
      </c>
      <c r="E12" s="302">
        <f t="shared" si="22"/>
        <v>4</v>
      </c>
      <c r="F12" s="302">
        <f t="shared" si="22"/>
        <v>4</v>
      </c>
      <c r="G12" s="302">
        <v>4060.0</v>
      </c>
      <c r="H12" s="302">
        <v>610.0</v>
      </c>
      <c r="I12" s="299"/>
      <c r="J12" s="302">
        <v>10.0</v>
      </c>
      <c r="K12" s="302">
        <f t="shared" ref="K12:L12" si="23">K11</f>
        <v>4</v>
      </c>
      <c r="L12" s="302">
        <f t="shared" si="23"/>
        <v>4</v>
      </c>
      <c r="M12" s="302">
        <v>4.0</v>
      </c>
      <c r="N12" s="302">
        <f t="shared" ref="N12:O12" si="24">N11</f>
        <v>4</v>
      </c>
      <c r="O12" s="302">
        <f t="shared" si="24"/>
        <v>4</v>
      </c>
      <c r="P12" s="302">
        <v>4150.0</v>
      </c>
      <c r="Q12" s="302">
        <v>630.0</v>
      </c>
      <c r="R12" s="299"/>
      <c r="S12" s="302">
        <v>10.0</v>
      </c>
      <c r="T12" s="302">
        <f>T11</f>
        <v>4</v>
      </c>
      <c r="U12" s="302">
        <v>4.0</v>
      </c>
      <c r="V12" s="302">
        <f t="shared" ref="V12:W12" si="25">V11</f>
        <v>4</v>
      </c>
      <c r="W12" s="302">
        <f t="shared" si="25"/>
        <v>4</v>
      </c>
      <c r="X12" s="302">
        <v>1540.0</v>
      </c>
      <c r="Y12" s="302">
        <v>220.0</v>
      </c>
      <c r="Z12" s="299"/>
    </row>
    <row r="13">
      <c r="A13" s="303">
        <v>11.0</v>
      </c>
      <c r="B13" s="303">
        <v>5.0</v>
      </c>
      <c r="C13" s="303">
        <v>5.0</v>
      </c>
      <c r="D13" s="303">
        <v>5.0</v>
      </c>
      <c r="E13" s="303">
        <v>5.0</v>
      </c>
      <c r="F13" s="303">
        <v>5.0</v>
      </c>
      <c r="G13" s="303">
        <v>4740.0</v>
      </c>
      <c r="H13" s="302">
        <v>680.0</v>
      </c>
      <c r="I13" s="299"/>
      <c r="J13" s="303">
        <v>11.0</v>
      </c>
      <c r="K13" s="303">
        <v>5.0</v>
      </c>
      <c r="L13" s="303">
        <v>5.0</v>
      </c>
      <c r="M13" s="303">
        <v>5.0</v>
      </c>
      <c r="N13" s="303">
        <v>5.0</v>
      </c>
      <c r="O13" s="303">
        <v>5.0</v>
      </c>
      <c r="P13" s="303">
        <v>4850.0</v>
      </c>
      <c r="Q13" s="302">
        <v>700.0</v>
      </c>
      <c r="R13" s="299"/>
      <c r="S13" s="303">
        <v>11.0</v>
      </c>
      <c r="T13" s="303">
        <v>5.0</v>
      </c>
      <c r="U13" s="303">
        <v>5.0</v>
      </c>
      <c r="V13" s="303">
        <v>5.0</v>
      </c>
      <c r="W13" s="303">
        <v>5.0</v>
      </c>
      <c r="X13" s="303">
        <v>1780.0</v>
      </c>
      <c r="Y13" s="302">
        <v>240.0</v>
      </c>
      <c r="Z13" s="299"/>
    </row>
    <row r="14">
      <c r="A14" s="302">
        <v>12.0</v>
      </c>
      <c r="B14" s="300">
        <v>5.0</v>
      </c>
      <c r="C14" s="302">
        <f t="shared" ref="C14:E14" si="26">C13</f>
        <v>5</v>
      </c>
      <c r="D14" s="302">
        <f t="shared" si="26"/>
        <v>5</v>
      </c>
      <c r="E14" s="302">
        <f t="shared" si="26"/>
        <v>5</v>
      </c>
      <c r="F14" s="302">
        <v>6.0</v>
      </c>
      <c r="G14" s="302">
        <v>5460.0</v>
      </c>
      <c r="H14" s="302">
        <v>720.0</v>
      </c>
      <c r="I14" s="299"/>
      <c r="J14" s="302">
        <v>12.0</v>
      </c>
      <c r="K14" s="302">
        <f t="shared" ref="K14:M14" si="27">K13</f>
        <v>5</v>
      </c>
      <c r="L14" s="302">
        <f t="shared" si="27"/>
        <v>5</v>
      </c>
      <c r="M14" s="302">
        <f t="shared" si="27"/>
        <v>5</v>
      </c>
      <c r="N14" s="302">
        <v>6.0</v>
      </c>
      <c r="O14" s="302">
        <v>6.0</v>
      </c>
      <c r="P14" s="302">
        <v>5650.0</v>
      </c>
      <c r="Q14" s="302">
        <v>800.0</v>
      </c>
      <c r="R14" s="299"/>
      <c r="S14" s="302">
        <v>12.0</v>
      </c>
      <c r="T14" s="302">
        <f t="shared" ref="T14:V14" si="28">T13</f>
        <v>5</v>
      </c>
      <c r="U14" s="302">
        <f t="shared" si="28"/>
        <v>5</v>
      </c>
      <c r="V14" s="302">
        <f t="shared" si="28"/>
        <v>5</v>
      </c>
      <c r="W14" s="302">
        <v>6.0</v>
      </c>
      <c r="X14" s="302">
        <v>2050.0</v>
      </c>
      <c r="Y14" s="302">
        <v>270.0</v>
      </c>
      <c r="Z14" s="299"/>
    </row>
    <row r="15">
      <c r="A15" s="302">
        <v>13.0</v>
      </c>
      <c r="B15" s="300">
        <v>5.0</v>
      </c>
      <c r="C15" s="302">
        <f t="shared" ref="C15:C16" si="31">C14</f>
        <v>5</v>
      </c>
      <c r="D15" s="302">
        <v>6.0</v>
      </c>
      <c r="E15" s="302">
        <v>6.0</v>
      </c>
      <c r="F15" s="302">
        <f>F14</f>
        <v>6</v>
      </c>
      <c r="G15" s="302">
        <v>6260.0</v>
      </c>
      <c r="H15" s="302">
        <v>800.0</v>
      </c>
      <c r="I15" s="299"/>
      <c r="J15" s="302">
        <v>13.0</v>
      </c>
      <c r="K15" s="302">
        <f>K14</f>
        <v>5</v>
      </c>
      <c r="L15" s="302">
        <v>6.0</v>
      </c>
      <c r="M15" s="302">
        <f t="shared" ref="M15:O15" si="29">M14</f>
        <v>5</v>
      </c>
      <c r="N15" s="302">
        <f t="shared" si="29"/>
        <v>6</v>
      </c>
      <c r="O15" s="302">
        <f t="shared" si="29"/>
        <v>6</v>
      </c>
      <c r="P15" s="302">
        <v>6500.0</v>
      </c>
      <c r="Q15" s="302">
        <v>850.0</v>
      </c>
      <c r="R15" s="299"/>
      <c r="S15" s="302">
        <v>13.0</v>
      </c>
      <c r="T15" s="302">
        <f t="shared" ref="T15:U15" si="30">T14</f>
        <v>5</v>
      </c>
      <c r="U15" s="302">
        <f t="shared" si="30"/>
        <v>5</v>
      </c>
      <c r="V15" s="302">
        <v>6.0</v>
      </c>
      <c r="W15" s="302">
        <f>W14</f>
        <v>6</v>
      </c>
      <c r="X15" s="302">
        <v>2340.0</v>
      </c>
      <c r="Y15" s="302">
        <v>290.0</v>
      </c>
      <c r="Z15" s="299"/>
    </row>
    <row r="16">
      <c r="A16" s="302">
        <v>14.0</v>
      </c>
      <c r="B16" s="302">
        <v>6.0</v>
      </c>
      <c r="C16" s="302">
        <f t="shared" si="31"/>
        <v>5</v>
      </c>
      <c r="D16" s="302">
        <f t="shared" ref="D16:F16" si="32">D15</f>
        <v>6</v>
      </c>
      <c r="E16" s="302">
        <f t="shared" si="32"/>
        <v>6</v>
      </c>
      <c r="F16" s="302">
        <f t="shared" si="32"/>
        <v>6</v>
      </c>
      <c r="G16" s="302">
        <v>7160.0</v>
      </c>
      <c r="H16" s="302">
        <v>900.0</v>
      </c>
      <c r="I16" s="299"/>
      <c r="J16" s="302">
        <v>14.0</v>
      </c>
      <c r="K16" s="302">
        <v>6.0</v>
      </c>
      <c r="L16" s="302">
        <f t="shared" ref="L16:O16" si="33">L15</f>
        <v>6</v>
      </c>
      <c r="M16" s="302">
        <f t="shared" si="33"/>
        <v>5</v>
      </c>
      <c r="N16" s="302">
        <f t="shared" si="33"/>
        <v>6</v>
      </c>
      <c r="O16" s="302">
        <f t="shared" si="33"/>
        <v>6</v>
      </c>
      <c r="P16" s="302">
        <v>7450.0</v>
      </c>
      <c r="Q16" s="302">
        <v>950.0</v>
      </c>
      <c r="R16" s="299"/>
      <c r="S16" s="302">
        <v>14.0</v>
      </c>
      <c r="T16" s="302">
        <v>6.0</v>
      </c>
      <c r="U16" s="302">
        <f t="shared" ref="U16:W16" si="34">U15</f>
        <v>5</v>
      </c>
      <c r="V16" s="302">
        <f t="shared" si="34"/>
        <v>6</v>
      </c>
      <c r="W16" s="302">
        <f t="shared" si="34"/>
        <v>6</v>
      </c>
      <c r="X16" s="302">
        <v>2660.0</v>
      </c>
      <c r="Y16" s="302">
        <v>320.0</v>
      </c>
      <c r="Z16" s="299"/>
    </row>
    <row r="17">
      <c r="A17" s="302">
        <v>15.0</v>
      </c>
      <c r="B17" s="300">
        <v>6.0</v>
      </c>
      <c r="C17" s="302">
        <v>6.0</v>
      </c>
      <c r="D17" s="302">
        <f t="shared" ref="D17:F17" si="35">D16</f>
        <v>6</v>
      </c>
      <c r="E17" s="302">
        <f t="shared" si="35"/>
        <v>6</v>
      </c>
      <c r="F17" s="302">
        <f t="shared" si="35"/>
        <v>6</v>
      </c>
      <c r="G17" s="302">
        <v>8160.0</v>
      </c>
      <c r="H17" s="302">
        <v>1000.0</v>
      </c>
      <c r="I17" s="299"/>
      <c r="J17" s="302">
        <v>15.0</v>
      </c>
      <c r="K17" s="302">
        <f t="shared" ref="K17:L17" si="36">K16</f>
        <v>6</v>
      </c>
      <c r="L17" s="302">
        <f t="shared" si="36"/>
        <v>6</v>
      </c>
      <c r="M17" s="302">
        <v>6.0</v>
      </c>
      <c r="N17" s="302">
        <f t="shared" ref="N17:O17" si="37">N16</f>
        <v>6</v>
      </c>
      <c r="O17" s="302">
        <f t="shared" si="37"/>
        <v>6</v>
      </c>
      <c r="P17" s="302">
        <v>8450.0</v>
      </c>
      <c r="Q17" s="302">
        <v>1000.0</v>
      </c>
      <c r="R17" s="299"/>
      <c r="S17" s="302">
        <v>15.0</v>
      </c>
      <c r="T17" s="302">
        <f>T16</f>
        <v>6</v>
      </c>
      <c r="U17" s="302">
        <v>6.0</v>
      </c>
      <c r="V17" s="302">
        <f t="shared" ref="V17:W17" si="38">V16</f>
        <v>6</v>
      </c>
      <c r="W17" s="302">
        <f t="shared" si="38"/>
        <v>6</v>
      </c>
      <c r="X17" s="302">
        <v>3010.0</v>
      </c>
      <c r="Y17" s="302">
        <v>350.0</v>
      </c>
      <c r="Z17" s="299"/>
    </row>
    <row r="18">
      <c r="A18" s="303">
        <v>16.0</v>
      </c>
      <c r="B18" s="303">
        <v>7.0</v>
      </c>
      <c r="C18" s="303">
        <v>7.0</v>
      </c>
      <c r="D18" s="303">
        <v>7.0</v>
      </c>
      <c r="E18" s="303">
        <v>7.0</v>
      </c>
      <c r="F18" s="303">
        <v>7.0</v>
      </c>
      <c r="G18" s="303">
        <v>9260.0</v>
      </c>
      <c r="H18" s="302">
        <v>1100.0</v>
      </c>
      <c r="I18" s="299"/>
      <c r="J18" s="303">
        <v>16.0</v>
      </c>
      <c r="K18" s="303">
        <v>7.0</v>
      </c>
      <c r="L18" s="303">
        <v>7.0</v>
      </c>
      <c r="M18" s="303">
        <v>7.0</v>
      </c>
      <c r="N18" s="303">
        <v>7.0</v>
      </c>
      <c r="O18" s="303">
        <v>7.0</v>
      </c>
      <c r="P18" s="303">
        <v>9650.0</v>
      </c>
      <c r="Q18" s="302">
        <v>1200.0</v>
      </c>
      <c r="R18" s="299"/>
      <c r="S18" s="303">
        <v>16.0</v>
      </c>
      <c r="T18" s="303">
        <v>7.0</v>
      </c>
      <c r="U18" s="303">
        <v>7.0</v>
      </c>
      <c r="V18" s="303">
        <v>7.0</v>
      </c>
      <c r="W18" s="303">
        <v>7.0</v>
      </c>
      <c r="X18" s="303">
        <v>3390.0</v>
      </c>
      <c r="Y18" s="302">
        <v>380.0</v>
      </c>
      <c r="Z18" s="299"/>
    </row>
    <row r="19">
      <c r="A19" s="302">
        <v>17.0</v>
      </c>
      <c r="B19" s="300">
        <v>7.0</v>
      </c>
      <c r="C19" s="302">
        <f t="shared" ref="C19:E19" si="39">C18</f>
        <v>7</v>
      </c>
      <c r="D19" s="302">
        <f t="shared" si="39"/>
        <v>7</v>
      </c>
      <c r="E19" s="302">
        <f t="shared" si="39"/>
        <v>7</v>
      </c>
      <c r="F19" s="302">
        <v>8.0</v>
      </c>
      <c r="G19" s="302">
        <v>10460.0</v>
      </c>
      <c r="H19" s="302">
        <v>1200.0</v>
      </c>
      <c r="I19" s="299"/>
      <c r="J19" s="302">
        <v>17.0</v>
      </c>
      <c r="K19" s="302">
        <f t="shared" ref="K19:M19" si="40">K18</f>
        <v>7</v>
      </c>
      <c r="L19" s="302">
        <f t="shared" si="40"/>
        <v>7</v>
      </c>
      <c r="M19" s="302">
        <f t="shared" si="40"/>
        <v>7</v>
      </c>
      <c r="N19" s="302">
        <v>8.0</v>
      </c>
      <c r="O19" s="302">
        <v>8.0</v>
      </c>
      <c r="P19" s="302">
        <v>10950.0</v>
      </c>
      <c r="Q19" s="302">
        <v>1300.0</v>
      </c>
      <c r="R19" s="299"/>
      <c r="S19" s="302">
        <v>17.0</v>
      </c>
      <c r="T19" s="302">
        <f t="shared" ref="T19:V19" si="41">T18</f>
        <v>7</v>
      </c>
      <c r="U19" s="302">
        <f t="shared" si="41"/>
        <v>7</v>
      </c>
      <c r="V19" s="302">
        <f t="shared" si="41"/>
        <v>7</v>
      </c>
      <c r="W19" s="302">
        <v>8.0</v>
      </c>
      <c r="X19" s="302">
        <v>3800.0</v>
      </c>
      <c r="Y19" s="302">
        <v>410.0</v>
      </c>
      <c r="Z19" s="299"/>
    </row>
    <row r="20">
      <c r="A20" s="302">
        <v>18.0</v>
      </c>
      <c r="B20" s="300">
        <v>7.0</v>
      </c>
      <c r="C20" s="302">
        <f t="shared" ref="C20:C21" si="44">C19</f>
        <v>7</v>
      </c>
      <c r="D20" s="302">
        <v>8.0</v>
      </c>
      <c r="E20" s="302">
        <v>8.0</v>
      </c>
      <c r="F20" s="302">
        <f>F19</f>
        <v>8</v>
      </c>
      <c r="G20" s="302">
        <v>11760.0</v>
      </c>
      <c r="H20" s="302">
        <v>1300.0</v>
      </c>
      <c r="I20" s="299"/>
      <c r="J20" s="302">
        <v>18.0</v>
      </c>
      <c r="K20" s="302">
        <f>K19</f>
        <v>7</v>
      </c>
      <c r="L20" s="302">
        <v>8.0</v>
      </c>
      <c r="M20" s="302">
        <f t="shared" ref="M20:O20" si="42">M19</f>
        <v>7</v>
      </c>
      <c r="N20" s="302">
        <f t="shared" si="42"/>
        <v>8</v>
      </c>
      <c r="O20" s="302">
        <f t="shared" si="42"/>
        <v>8</v>
      </c>
      <c r="P20" s="302">
        <v>12350.0</v>
      </c>
      <c r="Q20" s="302">
        <v>1400.0</v>
      </c>
      <c r="R20" s="299"/>
      <c r="S20" s="302">
        <v>18.0</v>
      </c>
      <c r="T20" s="302">
        <f t="shared" ref="T20:U20" si="43">T19</f>
        <v>7</v>
      </c>
      <c r="U20" s="302">
        <f t="shared" si="43"/>
        <v>7</v>
      </c>
      <c r="V20" s="302">
        <v>8.0</v>
      </c>
      <c r="W20" s="302">
        <f>W19</f>
        <v>8</v>
      </c>
      <c r="X20" s="302">
        <v>4250.0</v>
      </c>
      <c r="Y20" s="302">
        <v>450.0</v>
      </c>
      <c r="Z20" s="299"/>
    </row>
    <row r="21">
      <c r="A21" s="302">
        <v>19.0</v>
      </c>
      <c r="B21" s="302">
        <v>8.0</v>
      </c>
      <c r="C21" s="302">
        <f t="shared" si="44"/>
        <v>7</v>
      </c>
      <c r="D21" s="302">
        <f t="shared" ref="D21:F21" si="45">D20</f>
        <v>8</v>
      </c>
      <c r="E21" s="302">
        <f t="shared" si="45"/>
        <v>8</v>
      </c>
      <c r="F21" s="302">
        <f t="shared" si="45"/>
        <v>8</v>
      </c>
      <c r="G21" s="302">
        <v>13260.0</v>
      </c>
      <c r="H21" s="302">
        <v>1500.0</v>
      </c>
      <c r="I21" s="299"/>
      <c r="J21" s="302">
        <v>19.0</v>
      </c>
      <c r="K21" s="302">
        <v>8.0</v>
      </c>
      <c r="L21" s="302">
        <f t="shared" ref="L21:O21" si="46">L20</f>
        <v>8</v>
      </c>
      <c r="M21" s="302">
        <f t="shared" si="46"/>
        <v>7</v>
      </c>
      <c r="N21" s="302">
        <f t="shared" si="46"/>
        <v>8</v>
      </c>
      <c r="O21" s="302">
        <f t="shared" si="46"/>
        <v>8</v>
      </c>
      <c r="P21" s="302">
        <v>13950.0</v>
      </c>
      <c r="Q21" s="302">
        <v>1600.0</v>
      </c>
      <c r="R21" s="299"/>
      <c r="S21" s="302">
        <v>19.0</v>
      </c>
      <c r="T21" s="302">
        <v>8.0</v>
      </c>
      <c r="U21" s="302">
        <f t="shared" ref="U21:W21" si="47">U20</f>
        <v>7</v>
      </c>
      <c r="V21" s="302">
        <f t="shared" si="47"/>
        <v>8</v>
      </c>
      <c r="W21" s="302">
        <f t="shared" si="47"/>
        <v>8</v>
      </c>
      <c r="X21" s="302">
        <v>4740.0</v>
      </c>
      <c r="Y21" s="302">
        <v>490.0</v>
      </c>
      <c r="Z21" s="299"/>
    </row>
    <row r="22">
      <c r="A22" s="302">
        <v>20.0</v>
      </c>
      <c r="B22" s="300">
        <v>8.0</v>
      </c>
      <c r="C22" s="302">
        <v>8.0</v>
      </c>
      <c r="D22" s="302">
        <f t="shared" ref="D22:F22" si="48">D21</f>
        <v>8</v>
      </c>
      <c r="E22" s="302">
        <f t="shared" si="48"/>
        <v>8</v>
      </c>
      <c r="F22" s="302">
        <f t="shared" si="48"/>
        <v>8</v>
      </c>
      <c r="G22" s="302">
        <v>14860.0</v>
      </c>
      <c r="H22" s="302">
        <v>1600.0</v>
      </c>
      <c r="I22" s="299"/>
      <c r="J22" s="302">
        <v>20.0</v>
      </c>
      <c r="K22" s="302">
        <f t="shared" ref="K22:L22" si="49">K21</f>
        <v>8</v>
      </c>
      <c r="L22" s="302">
        <f t="shared" si="49"/>
        <v>8</v>
      </c>
      <c r="M22" s="302">
        <v>8.0</v>
      </c>
      <c r="N22" s="302">
        <f t="shared" ref="N22:O22" si="50">N21</f>
        <v>8</v>
      </c>
      <c r="O22" s="302">
        <f t="shared" si="50"/>
        <v>8</v>
      </c>
      <c r="P22" s="302">
        <v>15650.0</v>
      </c>
      <c r="Q22" s="302">
        <v>1700.0</v>
      </c>
      <c r="R22" s="299"/>
      <c r="S22" s="302">
        <v>20.0</v>
      </c>
      <c r="T22" s="302">
        <f>T21</f>
        <v>8</v>
      </c>
      <c r="U22" s="302">
        <v>8.0</v>
      </c>
      <c r="V22" s="302">
        <f t="shared" ref="V22:W22" si="51">V21</f>
        <v>8</v>
      </c>
      <c r="W22" s="302">
        <f t="shared" si="51"/>
        <v>8</v>
      </c>
      <c r="X22" s="302">
        <v>5280.0</v>
      </c>
      <c r="Y22" s="302">
        <v>540.0</v>
      </c>
      <c r="Z22" s="299"/>
    </row>
    <row r="23">
      <c r="A23" s="303">
        <v>21.0</v>
      </c>
      <c r="B23" s="303">
        <v>9.0</v>
      </c>
      <c r="C23" s="303">
        <v>9.0</v>
      </c>
      <c r="D23" s="303">
        <v>9.0</v>
      </c>
      <c r="E23" s="303">
        <v>9.0</v>
      </c>
      <c r="F23" s="303">
        <v>9.0</v>
      </c>
      <c r="G23" s="303">
        <v>16660.0</v>
      </c>
      <c r="H23" s="302">
        <v>1800.0</v>
      </c>
      <c r="I23" s="299"/>
      <c r="J23" s="303">
        <v>21.0</v>
      </c>
      <c r="K23" s="303">
        <v>9.0</v>
      </c>
      <c r="L23" s="303">
        <v>9.0</v>
      </c>
      <c r="M23" s="303">
        <v>9.0</v>
      </c>
      <c r="N23" s="303">
        <v>9.0</v>
      </c>
      <c r="O23" s="303">
        <v>9.0</v>
      </c>
      <c r="P23" s="303">
        <v>17550.0</v>
      </c>
      <c r="Q23" s="302">
        <v>1900.0</v>
      </c>
      <c r="R23" s="299"/>
      <c r="S23" s="303">
        <v>21.0</v>
      </c>
      <c r="T23" s="303">
        <v>9.0</v>
      </c>
      <c r="U23" s="303">
        <v>9.0</v>
      </c>
      <c r="V23" s="303">
        <v>9.0</v>
      </c>
      <c r="W23" s="303">
        <v>9.0</v>
      </c>
      <c r="X23" s="303">
        <v>5870.0</v>
      </c>
      <c r="Y23" s="302">
        <v>590.0</v>
      </c>
      <c r="Z23" s="299"/>
    </row>
    <row r="24">
      <c r="A24" s="302">
        <v>22.0</v>
      </c>
      <c r="B24" s="300">
        <v>9.0</v>
      </c>
      <c r="C24" s="302">
        <f t="shared" ref="C24:E24" si="52">C23</f>
        <v>9</v>
      </c>
      <c r="D24" s="302">
        <f t="shared" si="52"/>
        <v>9</v>
      </c>
      <c r="E24" s="302">
        <f t="shared" si="52"/>
        <v>9</v>
      </c>
      <c r="F24" s="302">
        <v>10.0</v>
      </c>
      <c r="G24" s="302">
        <v>18660.0</v>
      </c>
      <c r="H24" s="302">
        <v>2000.0</v>
      </c>
      <c r="I24" s="299"/>
      <c r="J24" s="302">
        <v>22.0</v>
      </c>
      <c r="K24" s="302">
        <f t="shared" ref="K24:M24" si="53">K23</f>
        <v>9</v>
      </c>
      <c r="L24" s="302">
        <f t="shared" si="53"/>
        <v>9</v>
      </c>
      <c r="M24" s="302">
        <f t="shared" si="53"/>
        <v>9</v>
      </c>
      <c r="N24" s="302">
        <v>10.0</v>
      </c>
      <c r="O24" s="302">
        <v>10.0</v>
      </c>
      <c r="P24" s="302">
        <v>19650.0</v>
      </c>
      <c r="Q24" s="302">
        <v>2100.0</v>
      </c>
      <c r="R24" s="299"/>
      <c r="S24" s="302">
        <v>22.0</v>
      </c>
      <c r="T24" s="302">
        <f t="shared" ref="T24:V24" si="54">T23</f>
        <v>9</v>
      </c>
      <c r="U24" s="302">
        <f t="shared" si="54"/>
        <v>9</v>
      </c>
      <c r="V24" s="302">
        <f t="shared" si="54"/>
        <v>9</v>
      </c>
      <c r="W24" s="302">
        <v>10.0</v>
      </c>
      <c r="X24" s="302">
        <v>6520.0</v>
      </c>
      <c r="Y24" s="302">
        <v>650.0</v>
      </c>
      <c r="Z24" s="299"/>
    </row>
    <row r="25">
      <c r="A25" s="302">
        <v>23.0</v>
      </c>
      <c r="B25" s="300">
        <v>9.0</v>
      </c>
      <c r="C25" s="302">
        <f t="shared" ref="C25:C26" si="57">C24</f>
        <v>9</v>
      </c>
      <c r="D25" s="302">
        <v>10.0</v>
      </c>
      <c r="E25" s="302">
        <v>10.0</v>
      </c>
      <c r="F25" s="302">
        <f>F24</f>
        <v>10</v>
      </c>
      <c r="G25" s="302">
        <v>20860.0</v>
      </c>
      <c r="H25" s="302">
        <v>2200.0</v>
      </c>
      <c r="I25" s="299"/>
      <c r="J25" s="302">
        <v>23.0</v>
      </c>
      <c r="K25" s="302">
        <f>K24</f>
        <v>9</v>
      </c>
      <c r="L25" s="302">
        <v>10.0</v>
      </c>
      <c r="M25" s="302">
        <f t="shared" ref="M25:O25" si="55">M24</f>
        <v>9</v>
      </c>
      <c r="N25" s="302">
        <f t="shared" si="55"/>
        <v>10</v>
      </c>
      <c r="O25" s="302">
        <f t="shared" si="55"/>
        <v>10</v>
      </c>
      <c r="P25" s="302">
        <v>22050.0</v>
      </c>
      <c r="Q25" s="302">
        <v>2400.0</v>
      </c>
      <c r="R25" s="299"/>
      <c r="S25" s="302">
        <v>23.0</v>
      </c>
      <c r="T25" s="302">
        <f t="shared" ref="T25:U25" si="56">T24</f>
        <v>9</v>
      </c>
      <c r="U25" s="302">
        <f t="shared" si="56"/>
        <v>9</v>
      </c>
      <c r="V25" s="302">
        <v>10.0</v>
      </c>
      <c r="W25" s="302">
        <f>W24</f>
        <v>10</v>
      </c>
      <c r="X25" s="302">
        <v>7230.0</v>
      </c>
      <c r="Y25" s="302">
        <v>710.0</v>
      </c>
      <c r="Z25" s="299"/>
    </row>
    <row r="26">
      <c r="A26" s="302">
        <v>24.0</v>
      </c>
      <c r="B26" s="302">
        <v>10.0</v>
      </c>
      <c r="C26" s="302">
        <f t="shared" si="57"/>
        <v>9</v>
      </c>
      <c r="D26" s="302">
        <f t="shared" ref="D26:F26" si="58">D25</f>
        <v>10</v>
      </c>
      <c r="E26" s="302">
        <f t="shared" si="58"/>
        <v>10</v>
      </c>
      <c r="F26" s="302">
        <f t="shared" si="58"/>
        <v>10</v>
      </c>
      <c r="G26" s="302">
        <v>23260.0</v>
      </c>
      <c r="H26" s="302">
        <v>2400.0</v>
      </c>
      <c r="I26" s="299"/>
      <c r="J26" s="302">
        <v>24.0</v>
      </c>
      <c r="K26" s="302">
        <v>10.0</v>
      </c>
      <c r="L26" s="302">
        <f t="shared" ref="L26:O26" si="59">L25</f>
        <v>10</v>
      </c>
      <c r="M26" s="302">
        <f t="shared" si="59"/>
        <v>9</v>
      </c>
      <c r="N26" s="302">
        <f t="shared" si="59"/>
        <v>10</v>
      </c>
      <c r="O26" s="302">
        <f t="shared" si="59"/>
        <v>10</v>
      </c>
      <c r="P26" s="302">
        <v>24650.0</v>
      </c>
      <c r="Q26" s="302">
        <v>2600.0</v>
      </c>
      <c r="R26" s="299"/>
      <c r="S26" s="302">
        <v>24.0</v>
      </c>
      <c r="T26" s="302">
        <v>10.0</v>
      </c>
      <c r="U26" s="302">
        <f t="shared" ref="U26:W26" si="60">U25</f>
        <v>9</v>
      </c>
      <c r="V26" s="302">
        <f t="shared" si="60"/>
        <v>10</v>
      </c>
      <c r="W26" s="302">
        <f t="shared" si="60"/>
        <v>10</v>
      </c>
      <c r="X26" s="302">
        <v>8000.0</v>
      </c>
      <c r="Y26" s="302">
        <v>770.0</v>
      </c>
      <c r="Z26" s="299"/>
    </row>
    <row r="27">
      <c r="A27" s="302">
        <v>25.0</v>
      </c>
      <c r="B27" s="300">
        <v>10.0</v>
      </c>
      <c r="C27" s="302">
        <v>10.0</v>
      </c>
      <c r="D27" s="302">
        <f t="shared" ref="D27:F27" si="61">D26</f>
        <v>10</v>
      </c>
      <c r="E27" s="302">
        <f t="shared" si="61"/>
        <v>10</v>
      </c>
      <c r="F27" s="302">
        <f t="shared" si="61"/>
        <v>10</v>
      </c>
      <c r="G27" s="302">
        <v>25960.0</v>
      </c>
      <c r="H27" s="302">
        <v>2700.0</v>
      </c>
      <c r="I27" s="299"/>
      <c r="J27" s="302">
        <v>25.0</v>
      </c>
      <c r="K27" s="302">
        <f t="shared" ref="K27:L27" si="62">K26</f>
        <v>10</v>
      </c>
      <c r="L27" s="302">
        <f t="shared" si="62"/>
        <v>10</v>
      </c>
      <c r="M27" s="302">
        <v>10.0</v>
      </c>
      <c r="N27" s="302">
        <f t="shared" ref="N27:O27" si="63">N26</f>
        <v>10</v>
      </c>
      <c r="O27" s="302">
        <f t="shared" si="63"/>
        <v>10</v>
      </c>
      <c r="P27" s="302">
        <v>27550.0</v>
      </c>
      <c r="Q27" s="302">
        <v>2900.0</v>
      </c>
      <c r="R27" s="299"/>
      <c r="S27" s="302">
        <v>25.0</v>
      </c>
      <c r="T27" s="302">
        <f>T26</f>
        <v>10</v>
      </c>
      <c r="U27" s="302">
        <v>10.0</v>
      </c>
      <c r="V27" s="302">
        <f t="shared" ref="V27:W27" si="64">V26</f>
        <v>10</v>
      </c>
      <c r="W27" s="302">
        <f t="shared" si="64"/>
        <v>10</v>
      </c>
      <c r="X27" s="302">
        <v>8840.0</v>
      </c>
      <c r="Y27" s="302">
        <v>840.0</v>
      </c>
      <c r="Z27" s="299"/>
    </row>
    <row r="28">
      <c r="A28" s="303">
        <v>26.0</v>
      </c>
      <c r="B28" s="303">
        <v>11.0</v>
      </c>
      <c r="C28" s="303">
        <v>11.0</v>
      </c>
      <c r="D28" s="303">
        <v>11.0</v>
      </c>
      <c r="E28" s="303">
        <v>11.0</v>
      </c>
      <c r="F28" s="303">
        <v>11.0</v>
      </c>
      <c r="G28" s="303">
        <v>28860.0</v>
      </c>
      <c r="H28" s="302">
        <v>2900.0</v>
      </c>
      <c r="I28" s="299"/>
      <c r="J28" s="303">
        <v>26.0</v>
      </c>
      <c r="K28" s="303">
        <v>11.0</v>
      </c>
      <c r="L28" s="303">
        <v>11.0</v>
      </c>
      <c r="M28" s="303">
        <v>11.0</v>
      </c>
      <c r="N28" s="303">
        <v>11.0</v>
      </c>
      <c r="O28" s="303">
        <v>11.0</v>
      </c>
      <c r="P28" s="303">
        <v>30750.0</v>
      </c>
      <c r="Q28" s="302">
        <v>3200.0</v>
      </c>
      <c r="R28" s="299"/>
      <c r="S28" s="303">
        <v>26.0</v>
      </c>
      <c r="T28" s="303">
        <v>11.0</v>
      </c>
      <c r="U28" s="303">
        <v>11.0</v>
      </c>
      <c r="V28" s="303">
        <v>11.0</v>
      </c>
      <c r="W28" s="303">
        <v>11.0</v>
      </c>
      <c r="X28" s="303">
        <v>9760.0</v>
      </c>
      <c r="Y28" s="302">
        <v>920.0</v>
      </c>
      <c r="Z28" s="299"/>
    </row>
    <row r="29">
      <c r="A29" s="302">
        <v>27.0</v>
      </c>
      <c r="B29" s="300">
        <v>11.0</v>
      </c>
      <c r="C29" s="302">
        <f t="shared" ref="C29:E29" si="65">C28</f>
        <v>11</v>
      </c>
      <c r="D29" s="302">
        <f t="shared" si="65"/>
        <v>11</v>
      </c>
      <c r="E29" s="302">
        <f t="shared" si="65"/>
        <v>11</v>
      </c>
      <c r="F29" s="302">
        <v>12.0</v>
      </c>
      <c r="G29" s="302">
        <v>31960.0</v>
      </c>
      <c r="H29" s="302">
        <v>3100.0</v>
      </c>
      <c r="I29" s="299"/>
      <c r="J29" s="302">
        <v>27.0</v>
      </c>
      <c r="K29" s="302">
        <f t="shared" ref="K29:M29" si="66">K28</f>
        <v>11</v>
      </c>
      <c r="L29" s="302">
        <f t="shared" si="66"/>
        <v>11</v>
      </c>
      <c r="M29" s="302">
        <f t="shared" si="66"/>
        <v>11</v>
      </c>
      <c r="N29" s="302">
        <v>12.0</v>
      </c>
      <c r="O29" s="302">
        <v>12.0</v>
      </c>
      <c r="P29" s="302">
        <v>34150.0</v>
      </c>
      <c r="Q29" s="302">
        <v>3400.0</v>
      </c>
      <c r="R29" s="299"/>
      <c r="S29" s="302">
        <v>27.0</v>
      </c>
      <c r="T29" s="302">
        <f t="shared" ref="T29:V29" si="67">T28</f>
        <v>11</v>
      </c>
      <c r="U29" s="302">
        <f t="shared" si="67"/>
        <v>11</v>
      </c>
      <c r="V29" s="302">
        <f t="shared" si="67"/>
        <v>11</v>
      </c>
      <c r="W29" s="302">
        <v>12.0</v>
      </c>
      <c r="X29" s="302">
        <v>10770.0</v>
      </c>
      <c r="Y29" s="302">
        <v>1010.0</v>
      </c>
      <c r="Z29" s="299"/>
    </row>
    <row r="30">
      <c r="A30" s="302">
        <v>28.0</v>
      </c>
      <c r="B30" s="300">
        <v>11.0</v>
      </c>
      <c r="C30" s="302">
        <f t="shared" ref="C30:C31" si="70">C29</f>
        <v>11</v>
      </c>
      <c r="D30" s="302">
        <v>12.0</v>
      </c>
      <c r="E30" s="302">
        <v>12.0</v>
      </c>
      <c r="F30" s="302">
        <f>F29</f>
        <v>12</v>
      </c>
      <c r="G30" s="302">
        <v>35360.0</v>
      </c>
      <c r="H30" s="302">
        <v>3400.0</v>
      </c>
      <c r="I30" s="299"/>
      <c r="J30" s="302">
        <v>28.0</v>
      </c>
      <c r="K30" s="302">
        <f>K29</f>
        <v>11</v>
      </c>
      <c r="L30" s="302">
        <v>12.0</v>
      </c>
      <c r="M30" s="302">
        <f t="shared" ref="M30:O30" si="68">M29</f>
        <v>11</v>
      </c>
      <c r="N30" s="302">
        <f t="shared" si="68"/>
        <v>12</v>
      </c>
      <c r="O30" s="302">
        <f t="shared" si="68"/>
        <v>12</v>
      </c>
      <c r="P30" s="302">
        <v>37950.0</v>
      </c>
      <c r="Q30" s="302">
        <v>3800.0</v>
      </c>
      <c r="R30" s="299"/>
      <c r="S30" s="302">
        <v>28.0</v>
      </c>
      <c r="T30" s="302">
        <f t="shared" ref="T30:U30" si="69">T29</f>
        <v>11</v>
      </c>
      <c r="U30" s="302">
        <f t="shared" si="69"/>
        <v>11</v>
      </c>
      <c r="V30" s="302">
        <v>12.0</v>
      </c>
      <c r="W30" s="302">
        <f>W29</f>
        <v>12</v>
      </c>
      <c r="X30" s="302">
        <v>11870.0</v>
      </c>
      <c r="Y30" s="302">
        <v>1100.0</v>
      </c>
      <c r="Z30" s="299"/>
    </row>
    <row r="31">
      <c r="A31" s="302">
        <v>29.0</v>
      </c>
      <c r="B31" s="302">
        <v>12.0</v>
      </c>
      <c r="C31" s="302">
        <f t="shared" si="70"/>
        <v>11</v>
      </c>
      <c r="D31" s="302">
        <f t="shared" ref="D31:F31" si="71">D30</f>
        <v>12</v>
      </c>
      <c r="E31" s="302">
        <f t="shared" si="71"/>
        <v>12</v>
      </c>
      <c r="F31" s="302">
        <f t="shared" si="71"/>
        <v>12</v>
      </c>
      <c r="G31" s="302">
        <v>39160.0</v>
      </c>
      <c r="H31" s="302">
        <v>3800.0</v>
      </c>
      <c r="I31" s="299"/>
      <c r="J31" s="302">
        <v>29.0</v>
      </c>
      <c r="K31" s="302">
        <v>12.0</v>
      </c>
      <c r="L31" s="302">
        <f t="shared" ref="L31:O31" si="72">L30</f>
        <v>12</v>
      </c>
      <c r="M31" s="302">
        <f t="shared" si="72"/>
        <v>11</v>
      </c>
      <c r="N31" s="302">
        <f t="shared" si="72"/>
        <v>12</v>
      </c>
      <c r="O31" s="302">
        <f t="shared" si="72"/>
        <v>12</v>
      </c>
      <c r="P31" s="302">
        <v>42150.0</v>
      </c>
      <c r="Q31" s="302">
        <v>4200.0</v>
      </c>
      <c r="R31" s="299"/>
      <c r="S31" s="302">
        <v>29.0</v>
      </c>
      <c r="T31" s="302">
        <v>12.0</v>
      </c>
      <c r="U31" s="302">
        <f t="shared" ref="U31:W31" si="73">U30</f>
        <v>11</v>
      </c>
      <c r="V31" s="302">
        <f t="shared" si="73"/>
        <v>12</v>
      </c>
      <c r="W31" s="302">
        <f t="shared" si="73"/>
        <v>12</v>
      </c>
      <c r="X31" s="302">
        <v>13070.0</v>
      </c>
      <c r="Y31" s="302">
        <v>1200.0</v>
      </c>
      <c r="Z31" s="299"/>
    </row>
    <row r="32">
      <c r="A32" s="302">
        <v>30.0</v>
      </c>
      <c r="B32" s="300">
        <v>12.0</v>
      </c>
      <c r="C32" s="302">
        <v>12.0</v>
      </c>
      <c r="D32" s="302">
        <f t="shared" ref="D32:F32" si="74">D31</f>
        <v>12</v>
      </c>
      <c r="E32" s="302">
        <f t="shared" si="74"/>
        <v>12</v>
      </c>
      <c r="F32" s="302">
        <f t="shared" si="74"/>
        <v>12</v>
      </c>
      <c r="G32" s="302">
        <v>43360.0</v>
      </c>
      <c r="H32" s="302">
        <v>4200.0</v>
      </c>
      <c r="I32" s="299"/>
      <c r="J32" s="302">
        <v>30.0</v>
      </c>
      <c r="K32" s="302">
        <f t="shared" ref="K32:L32" si="75">K31</f>
        <v>12</v>
      </c>
      <c r="L32" s="302">
        <f t="shared" si="75"/>
        <v>12</v>
      </c>
      <c r="M32" s="302">
        <v>12.0</v>
      </c>
      <c r="N32" s="302">
        <f t="shared" ref="N32:O32" si="76">N31</f>
        <v>12</v>
      </c>
      <c r="O32" s="302">
        <f t="shared" si="76"/>
        <v>12</v>
      </c>
      <c r="P32" s="302">
        <v>46750.0</v>
      </c>
      <c r="Q32" s="302">
        <v>4600.0</v>
      </c>
      <c r="R32" s="299"/>
      <c r="S32" s="302">
        <v>30.0</v>
      </c>
      <c r="T32" s="302">
        <f>T31</f>
        <v>12</v>
      </c>
      <c r="U32" s="302">
        <v>12.0</v>
      </c>
      <c r="V32" s="302">
        <f t="shared" ref="V32:W32" si="77">V31</f>
        <v>12</v>
      </c>
      <c r="W32" s="302">
        <f t="shared" si="77"/>
        <v>12</v>
      </c>
      <c r="X32" s="302">
        <v>14380.0</v>
      </c>
      <c r="Y32" s="302">
        <v>1310.0</v>
      </c>
      <c r="Z32" s="299"/>
    </row>
    <row r="33">
      <c r="A33" s="303">
        <v>31.0</v>
      </c>
      <c r="B33" s="303">
        <v>13.0</v>
      </c>
      <c r="C33" s="303">
        <v>13.0</v>
      </c>
      <c r="D33" s="303">
        <v>13.0</v>
      </c>
      <c r="E33" s="303">
        <v>13.0</v>
      </c>
      <c r="F33" s="303">
        <v>13.0</v>
      </c>
      <c r="G33" s="303">
        <v>47960.0</v>
      </c>
      <c r="H33" s="302">
        <v>4600.0</v>
      </c>
      <c r="I33" s="299"/>
      <c r="J33" s="303">
        <v>31.0</v>
      </c>
      <c r="K33" s="303">
        <v>13.0</v>
      </c>
      <c r="L33" s="303">
        <v>13.0</v>
      </c>
      <c r="M33" s="303">
        <v>13.0</v>
      </c>
      <c r="N33" s="303">
        <v>13.0</v>
      </c>
      <c r="O33" s="303">
        <v>13.0</v>
      </c>
      <c r="P33" s="303">
        <v>51580.0</v>
      </c>
      <c r="Q33" s="302">
        <v>4830.0</v>
      </c>
      <c r="R33" s="299"/>
      <c r="S33" s="303">
        <v>31.0</v>
      </c>
      <c r="T33" s="303">
        <v>13.0</v>
      </c>
      <c r="U33" s="303">
        <v>13.0</v>
      </c>
      <c r="V33" s="303">
        <v>13.0</v>
      </c>
      <c r="W33" s="303">
        <v>13.0</v>
      </c>
      <c r="X33" s="303">
        <v>15820.0</v>
      </c>
      <c r="Y33" s="302">
        <v>1440.0</v>
      </c>
      <c r="Z33" s="299"/>
    </row>
    <row r="34">
      <c r="A34" s="302">
        <v>32.0</v>
      </c>
      <c r="B34" s="300">
        <v>13.0</v>
      </c>
      <c r="C34" s="302">
        <f t="shared" ref="C34:E34" si="78">C33</f>
        <v>13</v>
      </c>
      <c r="D34" s="302">
        <f t="shared" si="78"/>
        <v>13</v>
      </c>
      <c r="E34" s="302">
        <f t="shared" si="78"/>
        <v>13</v>
      </c>
      <c r="F34" s="302">
        <v>14.0</v>
      </c>
      <c r="G34" s="302">
        <v>53060.0</v>
      </c>
      <c r="H34" s="302">
        <v>5100.0</v>
      </c>
      <c r="I34" s="299"/>
      <c r="J34" s="302">
        <v>32.0</v>
      </c>
      <c r="K34" s="302">
        <f t="shared" ref="K34:M34" si="79">K33</f>
        <v>13</v>
      </c>
      <c r="L34" s="302">
        <f t="shared" si="79"/>
        <v>13</v>
      </c>
      <c r="M34" s="302">
        <f t="shared" si="79"/>
        <v>13</v>
      </c>
      <c r="N34" s="302">
        <v>14.0</v>
      </c>
      <c r="O34" s="302">
        <v>14.0</v>
      </c>
      <c r="P34" s="302">
        <v>57550.0</v>
      </c>
      <c r="Q34" s="302">
        <v>5970.0</v>
      </c>
      <c r="R34" s="299"/>
      <c r="S34" s="302">
        <v>32.0</v>
      </c>
      <c r="T34" s="302">
        <f t="shared" ref="T34:V34" si="80">T33</f>
        <v>13</v>
      </c>
      <c r="U34" s="302">
        <f t="shared" si="80"/>
        <v>13</v>
      </c>
      <c r="V34" s="302">
        <f t="shared" si="80"/>
        <v>13</v>
      </c>
      <c r="W34" s="302">
        <v>14.0</v>
      </c>
      <c r="X34" s="302">
        <v>17390.0</v>
      </c>
      <c r="Y34" s="302">
        <v>1570.0</v>
      </c>
      <c r="Z34" s="299"/>
    </row>
    <row r="35">
      <c r="A35" s="302">
        <v>33.0</v>
      </c>
      <c r="B35" s="300">
        <v>13.0</v>
      </c>
      <c r="C35" s="302">
        <f t="shared" ref="C35:C36" si="83">C34</f>
        <v>13</v>
      </c>
      <c r="D35" s="302">
        <v>14.0</v>
      </c>
      <c r="E35" s="302">
        <v>14.0</v>
      </c>
      <c r="F35" s="302">
        <f>F34</f>
        <v>14</v>
      </c>
      <c r="G35" s="302">
        <v>58660.0</v>
      </c>
      <c r="H35" s="302">
        <v>5600.0</v>
      </c>
      <c r="I35" s="299"/>
      <c r="J35" s="302">
        <v>33.0</v>
      </c>
      <c r="K35" s="302">
        <f>K34</f>
        <v>13</v>
      </c>
      <c r="L35" s="302">
        <v>14.0</v>
      </c>
      <c r="M35" s="302">
        <f t="shared" ref="M35:O35" si="81">M34</f>
        <v>13</v>
      </c>
      <c r="N35" s="302">
        <f t="shared" si="81"/>
        <v>14</v>
      </c>
      <c r="O35" s="302">
        <f t="shared" si="81"/>
        <v>14</v>
      </c>
      <c r="P35" s="302">
        <v>63850.0</v>
      </c>
      <c r="Q35" s="302">
        <v>6300.0</v>
      </c>
      <c r="R35" s="299"/>
      <c r="S35" s="302">
        <v>33.0</v>
      </c>
      <c r="T35" s="302">
        <f t="shared" ref="T35:U35" si="82">T34</f>
        <v>13</v>
      </c>
      <c r="U35" s="302">
        <f t="shared" si="82"/>
        <v>13</v>
      </c>
      <c r="V35" s="302">
        <v>14.0</v>
      </c>
      <c r="W35" s="302">
        <f>W34</f>
        <v>14</v>
      </c>
      <c r="X35" s="302">
        <v>19110.0</v>
      </c>
      <c r="Y35" s="302">
        <v>1720.0</v>
      </c>
      <c r="Z35" s="299"/>
    </row>
    <row r="36">
      <c r="A36" s="302">
        <v>34.0</v>
      </c>
      <c r="B36" s="302">
        <v>14.0</v>
      </c>
      <c r="C36" s="302">
        <f t="shared" si="83"/>
        <v>13</v>
      </c>
      <c r="D36" s="302">
        <f t="shared" ref="D36:F36" si="84">D35</f>
        <v>14</v>
      </c>
      <c r="E36" s="302">
        <f t="shared" si="84"/>
        <v>14</v>
      </c>
      <c r="F36" s="302">
        <f t="shared" si="84"/>
        <v>14</v>
      </c>
      <c r="G36" s="302">
        <v>64860.0</v>
      </c>
      <c r="H36" s="302">
        <v>6200.0</v>
      </c>
      <c r="I36" s="299"/>
      <c r="J36" s="302">
        <v>34.0</v>
      </c>
      <c r="K36" s="302">
        <v>14.0</v>
      </c>
      <c r="L36" s="302">
        <f t="shared" ref="L36:O36" si="85">L35</f>
        <v>14</v>
      </c>
      <c r="M36" s="302">
        <f t="shared" si="85"/>
        <v>13</v>
      </c>
      <c r="N36" s="302">
        <f t="shared" si="85"/>
        <v>14</v>
      </c>
      <c r="O36" s="302">
        <f t="shared" si="85"/>
        <v>14</v>
      </c>
      <c r="P36" s="302">
        <v>70850.0</v>
      </c>
      <c r="Q36" s="302">
        <v>7000.0</v>
      </c>
      <c r="R36" s="299"/>
      <c r="S36" s="302">
        <v>34.0</v>
      </c>
      <c r="T36" s="302">
        <v>14.0</v>
      </c>
      <c r="U36" s="302">
        <f t="shared" ref="U36:W36" si="86">U35</f>
        <v>13</v>
      </c>
      <c r="V36" s="302">
        <f t="shared" si="86"/>
        <v>14</v>
      </c>
      <c r="W36" s="302">
        <f t="shared" si="86"/>
        <v>14</v>
      </c>
      <c r="X36" s="302">
        <v>20990.0</v>
      </c>
      <c r="Y36" s="302">
        <v>1880.0</v>
      </c>
      <c r="Z36" s="299"/>
    </row>
    <row r="37">
      <c r="A37" s="302">
        <v>35.0</v>
      </c>
      <c r="B37" s="300">
        <v>14.0</v>
      </c>
      <c r="C37" s="302">
        <v>14.0</v>
      </c>
      <c r="D37" s="302">
        <f t="shared" ref="D37:F37" si="87">D36</f>
        <v>14</v>
      </c>
      <c r="E37" s="302">
        <f t="shared" si="87"/>
        <v>14</v>
      </c>
      <c r="F37" s="302">
        <f t="shared" si="87"/>
        <v>14</v>
      </c>
      <c r="G37" s="302">
        <v>71660.0</v>
      </c>
      <c r="H37" s="302">
        <v>6800.0</v>
      </c>
      <c r="I37" s="299"/>
      <c r="J37" s="302">
        <v>35.0</v>
      </c>
      <c r="K37" s="302">
        <f t="shared" ref="K37:L37" si="88">K36</f>
        <v>14</v>
      </c>
      <c r="L37" s="302">
        <f t="shared" si="88"/>
        <v>14</v>
      </c>
      <c r="M37" s="302">
        <v>14.0</v>
      </c>
      <c r="N37" s="302">
        <f t="shared" ref="N37:O37" si="89">N36</f>
        <v>14</v>
      </c>
      <c r="O37" s="302">
        <f t="shared" si="89"/>
        <v>14</v>
      </c>
      <c r="P37" s="302">
        <v>78850.0</v>
      </c>
      <c r="Q37" s="302">
        <v>8000.0</v>
      </c>
      <c r="R37" s="299"/>
      <c r="S37" s="302">
        <v>35.0</v>
      </c>
      <c r="T37" s="302">
        <f>T36</f>
        <v>14</v>
      </c>
      <c r="U37" s="302">
        <v>14.0</v>
      </c>
      <c r="V37" s="302">
        <f t="shared" ref="V37:W37" si="90">V36</f>
        <v>14</v>
      </c>
      <c r="W37" s="302">
        <f t="shared" si="90"/>
        <v>14</v>
      </c>
      <c r="X37" s="302">
        <v>23040.0</v>
      </c>
      <c r="Y37" s="302">
        <v>2050.0</v>
      </c>
      <c r="Z37" s="299"/>
    </row>
    <row r="38">
      <c r="A38" s="303">
        <v>36.0</v>
      </c>
      <c r="B38" s="303">
        <v>15.0</v>
      </c>
      <c r="C38" s="303">
        <v>15.0</v>
      </c>
      <c r="D38" s="303">
        <v>15.0</v>
      </c>
      <c r="E38" s="303">
        <v>15.0</v>
      </c>
      <c r="F38" s="303">
        <v>15.0</v>
      </c>
      <c r="G38" s="303">
        <v>79160.0</v>
      </c>
      <c r="H38" s="302">
        <v>7500.0</v>
      </c>
      <c r="I38" s="299"/>
      <c r="J38" s="303">
        <v>36.0</v>
      </c>
      <c r="K38" s="303">
        <v>15.0</v>
      </c>
      <c r="L38" s="303">
        <v>15.0</v>
      </c>
      <c r="M38" s="303">
        <v>15.0</v>
      </c>
      <c r="N38" s="303">
        <v>15.0</v>
      </c>
      <c r="O38" s="303">
        <v>15.0</v>
      </c>
      <c r="P38" s="303">
        <v>87150.0</v>
      </c>
      <c r="Q38" s="302">
        <v>8300.0</v>
      </c>
      <c r="R38" s="299"/>
      <c r="S38" s="303">
        <v>36.0</v>
      </c>
      <c r="T38" s="303">
        <v>15.0</v>
      </c>
      <c r="U38" s="303">
        <v>15.0</v>
      </c>
      <c r="V38" s="303">
        <v>15.0</v>
      </c>
      <c r="W38" s="303">
        <v>15.0</v>
      </c>
      <c r="X38" s="303">
        <v>25280.0</v>
      </c>
      <c r="Y38" s="302">
        <v>2240.0</v>
      </c>
      <c r="Z38" s="299"/>
    </row>
    <row r="39">
      <c r="A39" s="302">
        <v>37.0</v>
      </c>
      <c r="B39" s="300">
        <v>15.0</v>
      </c>
      <c r="C39" s="302">
        <f t="shared" ref="C39:E39" si="91">C38</f>
        <v>15</v>
      </c>
      <c r="D39" s="302">
        <f t="shared" si="91"/>
        <v>15</v>
      </c>
      <c r="E39" s="302">
        <f t="shared" si="91"/>
        <v>15</v>
      </c>
      <c r="F39" s="302">
        <v>16.0</v>
      </c>
      <c r="G39" s="302">
        <v>87460.0</v>
      </c>
      <c r="H39" s="302">
        <v>8300.0</v>
      </c>
      <c r="I39" s="299"/>
      <c r="J39" s="302">
        <v>37.0</v>
      </c>
      <c r="K39" s="302">
        <f t="shared" ref="K39:M39" si="92">K38</f>
        <v>15</v>
      </c>
      <c r="L39" s="302">
        <f t="shared" si="92"/>
        <v>15</v>
      </c>
      <c r="M39" s="302">
        <f t="shared" si="92"/>
        <v>15</v>
      </c>
      <c r="N39" s="302">
        <v>16.0</v>
      </c>
      <c r="O39" s="302">
        <v>16.0</v>
      </c>
      <c r="P39" s="302">
        <v>96650.0</v>
      </c>
      <c r="Q39" s="302">
        <v>9500.0</v>
      </c>
      <c r="R39" s="299"/>
      <c r="S39" s="302">
        <v>37.0</v>
      </c>
      <c r="T39" s="302">
        <f t="shared" ref="T39:V39" si="93">T38</f>
        <v>15</v>
      </c>
      <c r="U39" s="302">
        <f t="shared" si="93"/>
        <v>15</v>
      </c>
      <c r="V39" s="302">
        <f t="shared" si="93"/>
        <v>15</v>
      </c>
      <c r="W39" s="302">
        <v>16.0</v>
      </c>
      <c r="X39" s="302">
        <v>27730.0</v>
      </c>
      <c r="Y39" s="302">
        <v>2450.0</v>
      </c>
      <c r="Z39" s="299"/>
    </row>
    <row r="40">
      <c r="A40" s="302">
        <v>38.0</v>
      </c>
      <c r="B40" s="300">
        <v>15.0</v>
      </c>
      <c r="C40" s="302">
        <f t="shared" ref="C40:C41" si="96">C39</f>
        <v>15</v>
      </c>
      <c r="D40" s="302">
        <v>16.0</v>
      </c>
      <c r="E40" s="302">
        <v>16.0</v>
      </c>
      <c r="F40" s="302">
        <f>F39</f>
        <v>16</v>
      </c>
      <c r="G40" s="302">
        <v>96660.0</v>
      </c>
      <c r="H40" s="302">
        <v>9200.0</v>
      </c>
      <c r="I40" s="299"/>
      <c r="J40" s="302">
        <v>38.0</v>
      </c>
      <c r="K40" s="302">
        <f>K39</f>
        <v>15</v>
      </c>
      <c r="L40" s="302">
        <v>16.0</v>
      </c>
      <c r="M40" s="302">
        <f t="shared" ref="M40:O40" si="94">M39</f>
        <v>15</v>
      </c>
      <c r="N40" s="302">
        <f t="shared" si="94"/>
        <v>16</v>
      </c>
      <c r="O40" s="302">
        <f t="shared" si="94"/>
        <v>16</v>
      </c>
      <c r="P40" s="302">
        <v>107150.0</v>
      </c>
      <c r="Q40" s="302">
        <v>10500.0</v>
      </c>
      <c r="R40" s="299"/>
      <c r="S40" s="302">
        <v>38.0</v>
      </c>
      <c r="T40" s="302">
        <f t="shared" ref="T40:U40" si="95">T39</f>
        <v>15</v>
      </c>
      <c r="U40" s="302">
        <f t="shared" si="95"/>
        <v>15</v>
      </c>
      <c r="V40" s="302">
        <v>16.0</v>
      </c>
      <c r="W40" s="302">
        <f>W39</f>
        <v>16</v>
      </c>
      <c r="X40" s="302">
        <v>30410.0</v>
      </c>
      <c r="Y40" s="302">
        <v>2680.0</v>
      </c>
      <c r="Z40" s="299"/>
    </row>
    <row r="41">
      <c r="A41" s="302">
        <v>39.0</v>
      </c>
      <c r="B41" s="302">
        <v>16.0</v>
      </c>
      <c r="C41" s="302">
        <f t="shared" si="96"/>
        <v>15</v>
      </c>
      <c r="D41" s="302">
        <f t="shared" ref="D41:F41" si="97">D40</f>
        <v>16</v>
      </c>
      <c r="E41" s="302">
        <f t="shared" si="97"/>
        <v>16</v>
      </c>
      <c r="F41" s="302">
        <f t="shared" si="97"/>
        <v>16</v>
      </c>
      <c r="G41" s="302">
        <v>106760.0</v>
      </c>
      <c r="H41" s="302">
        <v>10100.0</v>
      </c>
      <c r="I41" s="299"/>
      <c r="J41" s="302">
        <v>39.0</v>
      </c>
      <c r="K41" s="302">
        <v>16.0</v>
      </c>
      <c r="L41" s="302">
        <f t="shared" ref="L41:O41" si="98">L40</f>
        <v>16</v>
      </c>
      <c r="M41" s="302">
        <f t="shared" si="98"/>
        <v>15</v>
      </c>
      <c r="N41" s="302">
        <f t="shared" si="98"/>
        <v>16</v>
      </c>
      <c r="O41" s="302">
        <f t="shared" si="98"/>
        <v>16</v>
      </c>
      <c r="P41" s="302">
        <v>118750.0</v>
      </c>
      <c r="Q41" s="302">
        <v>11600.0</v>
      </c>
      <c r="R41" s="299"/>
      <c r="S41" s="302">
        <v>39.0</v>
      </c>
      <c r="T41" s="302">
        <v>16.0</v>
      </c>
      <c r="U41" s="302">
        <f t="shared" ref="U41:W41" si="99">U40</f>
        <v>15</v>
      </c>
      <c r="V41" s="302">
        <f t="shared" si="99"/>
        <v>16</v>
      </c>
      <c r="W41" s="302">
        <f t="shared" si="99"/>
        <v>16</v>
      </c>
      <c r="X41" s="302">
        <v>33330.0</v>
      </c>
      <c r="Y41" s="302">
        <v>2920.0</v>
      </c>
      <c r="Z41" s="299"/>
    </row>
    <row r="42">
      <c r="A42" s="302">
        <v>40.0</v>
      </c>
      <c r="B42" s="300">
        <v>16.0</v>
      </c>
      <c r="C42" s="302">
        <v>16.0</v>
      </c>
      <c r="D42" s="302">
        <f t="shared" ref="D42:F42" si="100">D41</f>
        <v>16</v>
      </c>
      <c r="E42" s="302">
        <f t="shared" si="100"/>
        <v>16</v>
      </c>
      <c r="F42" s="302">
        <f t="shared" si="100"/>
        <v>16</v>
      </c>
      <c r="G42" s="302">
        <v>117960.0</v>
      </c>
      <c r="H42" s="302">
        <v>11200.0</v>
      </c>
      <c r="I42" s="299"/>
      <c r="J42" s="302">
        <v>40.0</v>
      </c>
      <c r="K42" s="302">
        <f t="shared" ref="K42:L42" si="101">K41</f>
        <v>16</v>
      </c>
      <c r="L42" s="302">
        <f t="shared" si="101"/>
        <v>16</v>
      </c>
      <c r="M42" s="302">
        <v>16.0</v>
      </c>
      <c r="N42" s="302">
        <f t="shared" ref="N42:O42" si="102">N41</f>
        <v>16</v>
      </c>
      <c r="O42" s="302">
        <f t="shared" si="102"/>
        <v>16</v>
      </c>
      <c r="P42" s="302">
        <v>131650.0</v>
      </c>
      <c r="Q42" s="302">
        <v>12900.0</v>
      </c>
      <c r="R42" s="299"/>
      <c r="S42" s="302">
        <v>40.0</v>
      </c>
      <c r="T42" s="302">
        <f>T41</f>
        <v>16</v>
      </c>
      <c r="U42" s="302">
        <v>16.0</v>
      </c>
      <c r="V42" s="302">
        <f t="shared" ref="V42:W42" si="103">V41</f>
        <v>16</v>
      </c>
      <c r="W42" s="302">
        <f t="shared" si="103"/>
        <v>16</v>
      </c>
      <c r="X42" s="302">
        <v>36530.0</v>
      </c>
      <c r="Y42" s="302">
        <v>3200.0</v>
      </c>
      <c r="Z42" s="299"/>
    </row>
    <row r="43">
      <c r="A43" s="303">
        <v>41.0</v>
      </c>
      <c r="B43" s="303">
        <v>17.0</v>
      </c>
      <c r="C43" s="303">
        <v>17.0</v>
      </c>
      <c r="D43" s="303">
        <v>17.0</v>
      </c>
      <c r="E43" s="303">
        <v>17.0</v>
      </c>
      <c r="F43" s="303">
        <v>17.0</v>
      </c>
      <c r="G43" s="303">
        <v>130260.0</v>
      </c>
      <c r="H43" s="302">
        <v>12300.0</v>
      </c>
      <c r="I43" s="299"/>
      <c r="J43" s="303">
        <v>41.0</v>
      </c>
      <c r="K43" s="303">
        <v>17.0</v>
      </c>
      <c r="L43" s="303">
        <v>17.0</v>
      </c>
      <c r="M43" s="303">
        <v>17.0</v>
      </c>
      <c r="N43" s="303">
        <v>17.0</v>
      </c>
      <c r="O43" s="303">
        <v>17.0</v>
      </c>
      <c r="P43" s="303">
        <v>145950.0</v>
      </c>
      <c r="Q43" s="302">
        <v>14300.0</v>
      </c>
      <c r="R43" s="299"/>
      <c r="S43" s="303">
        <v>41.0</v>
      </c>
      <c r="T43" s="303">
        <v>17.0</v>
      </c>
      <c r="U43" s="303">
        <v>17.0</v>
      </c>
      <c r="V43" s="303">
        <v>17.0</v>
      </c>
      <c r="W43" s="303">
        <v>17.0</v>
      </c>
      <c r="X43" s="303">
        <v>40020.0</v>
      </c>
      <c r="Y43" s="302">
        <v>3490.0</v>
      </c>
      <c r="Z43" s="299"/>
    </row>
    <row r="44">
      <c r="A44" s="302">
        <v>42.0</v>
      </c>
      <c r="B44" s="300">
        <v>17.0</v>
      </c>
      <c r="C44" s="302">
        <f t="shared" ref="C44:E44" si="104">C43</f>
        <v>17</v>
      </c>
      <c r="D44" s="302">
        <f t="shared" si="104"/>
        <v>17</v>
      </c>
      <c r="E44" s="302">
        <f t="shared" si="104"/>
        <v>17</v>
      </c>
      <c r="F44" s="302">
        <v>18.0</v>
      </c>
      <c r="G44" s="302">
        <v>143860.0</v>
      </c>
      <c r="H44" s="302">
        <v>13600.0</v>
      </c>
      <c r="I44" s="299"/>
      <c r="J44" s="302">
        <v>42.0</v>
      </c>
      <c r="K44" s="302">
        <f t="shared" ref="K44:M44" si="105">K43</f>
        <v>17</v>
      </c>
      <c r="L44" s="302">
        <f t="shared" si="105"/>
        <v>17</v>
      </c>
      <c r="M44" s="302">
        <f t="shared" si="105"/>
        <v>17</v>
      </c>
      <c r="N44" s="302">
        <v>18.0</v>
      </c>
      <c r="O44" s="302">
        <v>18.0</v>
      </c>
      <c r="P44" s="302">
        <v>161750.0</v>
      </c>
      <c r="Q44" s="302">
        <v>15800.0</v>
      </c>
      <c r="R44" s="299"/>
      <c r="S44" s="302">
        <v>42.0</v>
      </c>
      <c r="T44" s="302">
        <f t="shared" ref="T44:V44" si="106">T43</f>
        <v>17</v>
      </c>
      <c r="U44" s="302">
        <f t="shared" si="106"/>
        <v>17</v>
      </c>
      <c r="V44" s="302">
        <f t="shared" si="106"/>
        <v>17</v>
      </c>
      <c r="W44" s="302">
        <v>18.0</v>
      </c>
      <c r="X44" s="302">
        <v>43840.0</v>
      </c>
      <c r="Y44" s="302">
        <v>3820.0</v>
      </c>
      <c r="Z44" s="299"/>
    </row>
    <row r="45">
      <c r="A45" s="302">
        <v>43.0</v>
      </c>
      <c r="B45" s="300">
        <v>17.0</v>
      </c>
      <c r="C45" s="302">
        <f t="shared" ref="C45:C46" si="109">C44</f>
        <v>17</v>
      </c>
      <c r="D45" s="302">
        <v>18.0</v>
      </c>
      <c r="E45" s="302">
        <v>18.0</v>
      </c>
      <c r="F45" s="302">
        <f>F44</f>
        <v>18</v>
      </c>
      <c r="G45" s="302">
        <v>158860.0</v>
      </c>
      <c r="H45" s="302">
        <v>15000.0</v>
      </c>
      <c r="I45" s="299"/>
      <c r="J45" s="302">
        <v>43.0</v>
      </c>
      <c r="K45" s="302">
        <f>K44</f>
        <v>17</v>
      </c>
      <c r="L45" s="302">
        <v>18.0</v>
      </c>
      <c r="M45" s="302">
        <f t="shared" ref="M45:O45" si="107">M44</f>
        <v>17</v>
      </c>
      <c r="N45" s="302">
        <f t="shared" si="107"/>
        <v>18</v>
      </c>
      <c r="O45" s="302">
        <f t="shared" si="107"/>
        <v>18</v>
      </c>
      <c r="P45" s="302">
        <v>179250.0</v>
      </c>
      <c r="Q45" s="302">
        <v>17500.0</v>
      </c>
      <c r="R45" s="299"/>
      <c r="S45" s="302">
        <v>43.0</v>
      </c>
      <c r="T45" s="302">
        <f t="shared" ref="T45:U45" si="108">T44</f>
        <v>17</v>
      </c>
      <c r="U45" s="302">
        <f t="shared" si="108"/>
        <v>17</v>
      </c>
      <c r="V45" s="302">
        <v>18.0</v>
      </c>
      <c r="W45" s="302">
        <f>W44</f>
        <v>18</v>
      </c>
      <c r="X45" s="302">
        <v>48010.0</v>
      </c>
      <c r="Y45" s="302">
        <v>4170.0</v>
      </c>
      <c r="Z45" s="299"/>
    </row>
    <row r="46">
      <c r="A46" s="302">
        <v>44.0</v>
      </c>
      <c r="B46" s="302">
        <v>18.0</v>
      </c>
      <c r="C46" s="302">
        <f t="shared" si="109"/>
        <v>17</v>
      </c>
      <c r="D46" s="302">
        <f t="shared" ref="D46:F46" si="110">D45</f>
        <v>18</v>
      </c>
      <c r="E46" s="302">
        <f t="shared" si="110"/>
        <v>18</v>
      </c>
      <c r="F46" s="302">
        <f t="shared" si="110"/>
        <v>18</v>
      </c>
      <c r="G46" s="302">
        <v>175460.0</v>
      </c>
      <c r="H46" s="302">
        <v>16600.0</v>
      </c>
      <c r="I46" s="299"/>
      <c r="J46" s="302">
        <v>44.0</v>
      </c>
      <c r="K46" s="302">
        <v>18.0</v>
      </c>
      <c r="L46" s="302">
        <f t="shared" ref="L46:O46" si="111">L45</f>
        <v>18</v>
      </c>
      <c r="M46" s="302">
        <f t="shared" si="111"/>
        <v>17</v>
      </c>
      <c r="N46" s="302">
        <f t="shared" si="111"/>
        <v>18</v>
      </c>
      <c r="O46" s="302">
        <f t="shared" si="111"/>
        <v>18</v>
      </c>
      <c r="P46" s="302">
        <v>198650.0</v>
      </c>
      <c r="Q46" s="302">
        <v>19400.0</v>
      </c>
      <c r="R46" s="299"/>
      <c r="S46" s="302">
        <v>44.0</v>
      </c>
      <c r="T46" s="302">
        <v>18.0</v>
      </c>
      <c r="U46" s="302">
        <f t="shared" ref="U46:W46" si="112">U45</f>
        <v>17</v>
      </c>
      <c r="V46" s="302">
        <f t="shared" si="112"/>
        <v>18</v>
      </c>
      <c r="W46" s="302">
        <f t="shared" si="112"/>
        <v>18</v>
      </c>
      <c r="X46" s="302">
        <v>52570.0</v>
      </c>
      <c r="Y46" s="302">
        <v>4560.0</v>
      </c>
      <c r="Z46" s="299"/>
    </row>
    <row r="47">
      <c r="A47" s="302">
        <v>45.0</v>
      </c>
      <c r="B47" s="300">
        <v>18.0</v>
      </c>
      <c r="C47" s="302">
        <v>19.0</v>
      </c>
      <c r="D47" s="302">
        <f t="shared" ref="D47:F47" si="113">D46</f>
        <v>18</v>
      </c>
      <c r="E47" s="302">
        <f t="shared" si="113"/>
        <v>18</v>
      </c>
      <c r="F47" s="302">
        <f t="shared" si="113"/>
        <v>18</v>
      </c>
      <c r="G47" s="302">
        <v>193760.0</v>
      </c>
      <c r="H47" s="302">
        <v>18300.0</v>
      </c>
      <c r="I47" s="299"/>
      <c r="J47" s="302">
        <v>45.0</v>
      </c>
      <c r="K47" s="302">
        <f t="shared" ref="K47:L47" si="114">K46</f>
        <v>18</v>
      </c>
      <c r="L47" s="302">
        <f t="shared" si="114"/>
        <v>18</v>
      </c>
      <c r="M47" s="302">
        <v>18.0</v>
      </c>
      <c r="N47" s="302">
        <f t="shared" ref="N47:O47" si="115">N46</f>
        <v>18</v>
      </c>
      <c r="O47" s="302">
        <f t="shared" si="115"/>
        <v>18</v>
      </c>
      <c r="P47" s="302">
        <v>220150.0</v>
      </c>
      <c r="Q47" s="302">
        <v>21500.0</v>
      </c>
      <c r="R47" s="299"/>
      <c r="S47" s="302">
        <v>45.0</v>
      </c>
      <c r="T47" s="302">
        <f>T46</f>
        <v>18</v>
      </c>
      <c r="U47" s="302">
        <v>18.0</v>
      </c>
      <c r="V47" s="302">
        <f t="shared" ref="V47:W47" si="116">V46</f>
        <v>18</v>
      </c>
      <c r="W47" s="302">
        <f t="shared" si="116"/>
        <v>18</v>
      </c>
      <c r="X47" s="302">
        <v>57550.0</v>
      </c>
      <c r="Y47" s="302">
        <v>4980.0</v>
      </c>
      <c r="Z47" s="299"/>
    </row>
    <row r="48">
      <c r="A48" s="303">
        <v>46.0</v>
      </c>
      <c r="B48" s="303">
        <v>19.0</v>
      </c>
      <c r="C48" s="303">
        <v>19.0</v>
      </c>
      <c r="D48" s="303">
        <v>19.0</v>
      </c>
      <c r="E48" s="303">
        <v>19.0</v>
      </c>
      <c r="F48" s="303">
        <v>19.0</v>
      </c>
      <c r="G48" s="303">
        <v>213960.0</v>
      </c>
      <c r="H48" s="302">
        <v>20200.0</v>
      </c>
      <c r="I48" s="299"/>
      <c r="J48" s="303">
        <v>46.0</v>
      </c>
      <c r="K48" s="303">
        <v>19.0</v>
      </c>
      <c r="L48" s="303">
        <v>19.0</v>
      </c>
      <c r="M48" s="303">
        <v>19.0</v>
      </c>
      <c r="N48" s="303">
        <v>19.0</v>
      </c>
      <c r="O48" s="303">
        <v>19.0</v>
      </c>
      <c r="P48" s="303">
        <v>243950.0</v>
      </c>
      <c r="Q48" s="302">
        <v>23800.0</v>
      </c>
      <c r="R48" s="299"/>
      <c r="S48" s="303">
        <v>46.0</v>
      </c>
      <c r="T48" s="303">
        <v>19.0</v>
      </c>
      <c r="U48" s="303">
        <v>19.0</v>
      </c>
      <c r="V48" s="303">
        <v>19.0</v>
      </c>
      <c r="W48" s="303">
        <v>19.0</v>
      </c>
      <c r="X48" s="303">
        <v>63000.0</v>
      </c>
      <c r="Y48" s="302">
        <v>5450.0</v>
      </c>
      <c r="Z48" s="299"/>
    </row>
    <row r="49">
      <c r="A49" s="302">
        <v>47.0</v>
      </c>
      <c r="B49" s="300">
        <v>19.0</v>
      </c>
      <c r="C49" s="302">
        <f t="shared" ref="C49:E49" si="117">C48</f>
        <v>19</v>
      </c>
      <c r="D49" s="302">
        <f t="shared" si="117"/>
        <v>19</v>
      </c>
      <c r="E49" s="302">
        <f t="shared" si="117"/>
        <v>19</v>
      </c>
      <c r="F49" s="302">
        <v>20.0</v>
      </c>
      <c r="G49" s="302">
        <v>236190.0</v>
      </c>
      <c r="H49" s="302">
        <v>22230.0</v>
      </c>
      <c r="I49" s="299"/>
      <c r="J49" s="302">
        <v>47.0</v>
      </c>
      <c r="K49" s="302">
        <f t="shared" ref="K49:M49" si="118">K48</f>
        <v>19</v>
      </c>
      <c r="L49" s="302">
        <f t="shared" si="118"/>
        <v>19</v>
      </c>
      <c r="M49" s="302">
        <f t="shared" si="118"/>
        <v>19</v>
      </c>
      <c r="N49" s="302">
        <v>20.0</v>
      </c>
      <c r="O49" s="302">
        <v>20.0</v>
      </c>
      <c r="P49" s="302">
        <v>270350.0</v>
      </c>
      <c r="Q49" s="302">
        <v>26400.0</v>
      </c>
      <c r="R49" s="299"/>
      <c r="S49" s="302">
        <v>47.0</v>
      </c>
      <c r="T49" s="302">
        <f t="shared" ref="T49:V49" si="119">T48</f>
        <v>19</v>
      </c>
      <c r="U49" s="302">
        <f t="shared" si="119"/>
        <v>19</v>
      </c>
      <c r="V49" s="302">
        <f t="shared" si="119"/>
        <v>19</v>
      </c>
      <c r="W49" s="302">
        <v>20.0</v>
      </c>
      <c r="X49" s="302">
        <v>68950.0</v>
      </c>
      <c r="Y49" s="302">
        <v>5950.0</v>
      </c>
      <c r="Z49" s="299"/>
    </row>
    <row r="50">
      <c r="A50" s="302">
        <v>48.0</v>
      </c>
      <c r="B50" s="300">
        <v>20.0</v>
      </c>
      <c r="C50" s="302">
        <f t="shared" ref="C50:C51" si="122">C49</f>
        <v>19</v>
      </c>
      <c r="D50" s="302">
        <v>20.0</v>
      </c>
      <c r="E50" s="302">
        <v>20.0</v>
      </c>
      <c r="F50" s="302">
        <f>F49</f>
        <v>20</v>
      </c>
      <c r="G50" s="302">
        <v>260660.0</v>
      </c>
      <c r="H50" s="302">
        <v>24470.0</v>
      </c>
      <c r="I50" s="299"/>
      <c r="J50" s="302">
        <v>48.0</v>
      </c>
      <c r="K50" s="302">
        <f>K49</f>
        <v>19</v>
      </c>
      <c r="L50" s="302">
        <v>20.0</v>
      </c>
      <c r="M50" s="302">
        <f t="shared" ref="M50:O50" si="120">M49</f>
        <v>19</v>
      </c>
      <c r="N50" s="302">
        <f t="shared" si="120"/>
        <v>20</v>
      </c>
      <c r="O50" s="302">
        <f t="shared" si="120"/>
        <v>20</v>
      </c>
      <c r="P50" s="302">
        <v>299550.0</v>
      </c>
      <c r="Q50" s="302">
        <v>29200.0</v>
      </c>
      <c r="R50" s="299"/>
      <c r="S50" s="302">
        <v>48.0</v>
      </c>
      <c r="T50" s="302">
        <f t="shared" ref="T50:U50" si="121">T49</f>
        <v>19</v>
      </c>
      <c r="U50" s="302">
        <f t="shared" si="121"/>
        <v>19</v>
      </c>
      <c r="V50" s="302">
        <v>20.0</v>
      </c>
      <c r="W50" s="302">
        <f>W49</f>
        <v>20</v>
      </c>
      <c r="X50" s="302">
        <v>75460.0</v>
      </c>
      <c r="Y50" s="302">
        <v>6510.0</v>
      </c>
      <c r="Z50" s="299"/>
    </row>
    <row r="51">
      <c r="A51" s="302">
        <v>49.0</v>
      </c>
      <c r="B51" s="302">
        <v>20.0</v>
      </c>
      <c r="C51" s="302">
        <f t="shared" si="122"/>
        <v>19</v>
      </c>
      <c r="D51" s="302">
        <f t="shared" ref="D51:F51" si="123">D50</f>
        <v>20</v>
      </c>
      <c r="E51" s="302">
        <f t="shared" si="123"/>
        <v>20</v>
      </c>
      <c r="F51" s="302">
        <f t="shared" si="123"/>
        <v>20</v>
      </c>
      <c r="G51" s="302">
        <v>287760.0</v>
      </c>
      <c r="H51" s="302">
        <v>27100.0</v>
      </c>
      <c r="I51" s="299"/>
      <c r="J51" s="302">
        <v>49.0</v>
      </c>
      <c r="K51" s="302">
        <v>20.0</v>
      </c>
      <c r="L51" s="302">
        <f t="shared" ref="L51:O51" si="124">L50</f>
        <v>20</v>
      </c>
      <c r="M51" s="302">
        <f t="shared" si="124"/>
        <v>19</v>
      </c>
      <c r="N51" s="302">
        <f t="shared" si="124"/>
        <v>20</v>
      </c>
      <c r="O51" s="302">
        <f t="shared" si="124"/>
        <v>20</v>
      </c>
      <c r="P51" s="302">
        <v>331950.0</v>
      </c>
      <c r="Q51" s="302">
        <v>32400.0</v>
      </c>
      <c r="R51" s="299"/>
      <c r="S51" s="302">
        <v>49.0</v>
      </c>
      <c r="T51" s="300">
        <v>20.0</v>
      </c>
      <c r="U51" s="302">
        <f t="shared" ref="U51:W51" si="125">U50</f>
        <v>19</v>
      </c>
      <c r="V51" s="302">
        <f t="shared" si="125"/>
        <v>20</v>
      </c>
      <c r="W51" s="302">
        <f t="shared" si="125"/>
        <v>20</v>
      </c>
      <c r="X51" s="302">
        <v>82570.0</v>
      </c>
      <c r="Y51" s="302">
        <v>7110.0</v>
      </c>
      <c r="Z51" s="299"/>
    </row>
    <row r="52">
      <c r="A52" s="302">
        <v>50.0</v>
      </c>
      <c r="B52" s="300">
        <v>20.0</v>
      </c>
      <c r="C52" s="302">
        <v>20.0</v>
      </c>
      <c r="D52" s="302">
        <f t="shared" ref="D52:F52" si="126">D51</f>
        <v>20</v>
      </c>
      <c r="E52" s="302">
        <f t="shared" si="126"/>
        <v>20</v>
      </c>
      <c r="F52" s="302">
        <f t="shared" si="126"/>
        <v>20</v>
      </c>
      <c r="G52" s="302">
        <v>317660.0</v>
      </c>
      <c r="H52" s="302">
        <v>29900.0</v>
      </c>
      <c r="I52" s="299"/>
      <c r="J52" s="302">
        <v>50.0</v>
      </c>
      <c r="K52" s="302">
        <f t="shared" ref="K52:L52" si="127">K51</f>
        <v>20</v>
      </c>
      <c r="L52" s="302">
        <f t="shared" si="127"/>
        <v>20</v>
      </c>
      <c r="M52" s="302">
        <v>20.0</v>
      </c>
      <c r="N52" s="302">
        <f t="shared" ref="N52:O52" si="128">N51</f>
        <v>20</v>
      </c>
      <c r="O52" s="302">
        <f t="shared" si="128"/>
        <v>20</v>
      </c>
      <c r="P52" s="302">
        <v>367850.0</v>
      </c>
      <c r="Q52" s="302">
        <v>35900.0</v>
      </c>
      <c r="R52" s="299"/>
      <c r="S52" s="302">
        <v>50.0</v>
      </c>
      <c r="T52" s="302">
        <f>T51</f>
        <v>20</v>
      </c>
      <c r="U52" s="302">
        <v>20.0</v>
      </c>
      <c r="V52" s="302">
        <f t="shared" ref="V52:W52" si="129">V51</f>
        <v>20</v>
      </c>
      <c r="W52" s="302">
        <f t="shared" si="129"/>
        <v>20</v>
      </c>
      <c r="X52" s="302">
        <v>90340.0</v>
      </c>
      <c r="Y52" s="302">
        <v>7770.0</v>
      </c>
      <c r="Z52" s="299"/>
    </row>
    <row r="53">
      <c r="A53" s="299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</row>
    <row r="54">
      <c r="A54" s="299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  <c r="Z54" s="299"/>
    </row>
    <row r="55">
      <c r="A55" s="299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</row>
    <row r="56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</row>
    <row r="57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</row>
    <row r="58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</row>
    <row r="59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</row>
    <row r="60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</row>
    <row r="61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</row>
    <row r="62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</row>
    <row r="63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</row>
    <row r="64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</row>
    <row r="6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</row>
    <row r="66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</row>
    <row r="67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</row>
    <row r="68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</row>
    <row r="69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</row>
    <row r="70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</row>
    <row r="71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</row>
    <row r="72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</row>
    <row r="73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</row>
    <row r="74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</row>
    <row r="7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</row>
    <row r="76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</row>
    <row r="77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</row>
    <row r="78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</row>
    <row r="79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</row>
    <row r="80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</row>
    <row r="81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</row>
    <row r="82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</row>
    <row r="83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</row>
    <row r="84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</row>
    <row r="85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</row>
    <row r="86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</row>
    <row r="87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</row>
    <row r="88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</row>
    <row r="89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</row>
    <row r="90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</row>
    <row r="91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</row>
    <row r="92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</row>
    <row r="93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</row>
    <row r="94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</row>
    <row r="95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</row>
    <row r="96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</row>
    <row r="97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</row>
    <row r="98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</row>
    <row r="99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</row>
    <row r="100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</row>
    <row r="101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</row>
    <row r="102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</row>
    <row r="103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</row>
    <row r="104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</row>
    <row r="10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</row>
    <row r="106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</row>
    <row r="107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</row>
    <row r="108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</row>
    <row r="109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</row>
    <row r="110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</row>
    <row r="111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</row>
    <row r="112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</row>
    <row r="113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</row>
    <row r="114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</row>
    <row r="115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</row>
    <row r="116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</row>
    <row r="117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</row>
    <row r="118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</row>
    <row r="119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</row>
    <row r="120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</row>
    <row r="121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</row>
    <row r="122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</row>
    <row r="123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</row>
    <row r="124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</row>
    <row r="12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</row>
    <row r="126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</row>
    <row r="127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</row>
    <row r="128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</row>
    <row r="129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</row>
    <row r="130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</row>
    <row r="13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</row>
    <row r="132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</row>
    <row r="133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</row>
    <row r="134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</row>
    <row r="135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</row>
    <row r="136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</row>
    <row r="137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</row>
    <row r="138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</row>
    <row r="139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</row>
    <row r="140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</row>
    <row r="141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</row>
    <row r="142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</row>
    <row r="143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</row>
    <row r="144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</row>
    <row r="14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</row>
    <row r="146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</row>
    <row r="147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</row>
    <row r="148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</row>
    <row r="149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</row>
    <row r="150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</row>
    <row r="151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</row>
    <row r="15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</row>
    <row r="153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</row>
    <row r="154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</row>
    <row r="155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</row>
    <row r="156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</row>
    <row r="157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</row>
    <row r="158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</row>
    <row r="159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</row>
    <row r="160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</row>
    <row r="161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</row>
    <row r="162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</row>
    <row r="163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</row>
    <row r="164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</row>
    <row r="165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</row>
    <row r="166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</row>
    <row r="167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</row>
    <row r="168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</row>
    <row r="169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</row>
    <row r="170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</row>
    <row r="171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</row>
    <row r="172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</row>
    <row r="173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</row>
    <row r="174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</row>
    <row r="175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</row>
    <row r="176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</row>
    <row r="177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</row>
    <row r="178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</row>
    <row r="179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</row>
    <row r="180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</row>
    <row r="181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</row>
    <row r="182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</row>
    <row r="183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</row>
    <row r="184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</row>
    <row r="185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</row>
    <row r="186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</row>
    <row r="187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</row>
    <row r="188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</row>
    <row r="189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</row>
    <row r="190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</row>
    <row r="191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</row>
    <row r="192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</row>
    <row r="193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</row>
    <row r="194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</row>
    <row r="19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</row>
    <row r="196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</row>
    <row r="197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</row>
    <row r="198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</row>
    <row r="199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</row>
    <row r="200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</row>
    <row r="201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</row>
    <row r="202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</row>
    <row r="203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</row>
    <row r="204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</row>
    <row r="205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</row>
    <row r="206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</row>
    <row r="207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</row>
    <row r="208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</row>
    <row r="209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</row>
    <row r="210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</row>
    <row r="211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</row>
    <row r="21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</row>
    <row r="213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</row>
    <row r="214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</row>
    <row r="21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</row>
    <row r="216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</row>
    <row r="217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</row>
    <row r="218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</row>
    <row r="219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</row>
    <row r="220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</row>
    <row r="221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</row>
    <row r="22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</row>
    <row r="223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</row>
    <row r="224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</row>
    <row r="22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  <row r="1001">
      <c r="A1001" s="299"/>
      <c r="B1001" s="299"/>
      <c r="C1001" s="299"/>
      <c r="D1001" s="299"/>
      <c r="E1001" s="299"/>
      <c r="F1001" s="299"/>
      <c r="G1001" s="299"/>
      <c r="H1001" s="299"/>
      <c r="I1001" s="299"/>
      <c r="J1001" s="299"/>
      <c r="K1001" s="299"/>
      <c r="L1001" s="299"/>
      <c r="M1001" s="299"/>
      <c r="N1001" s="299"/>
      <c r="O1001" s="299"/>
      <c r="P1001" s="299"/>
      <c r="Q1001" s="299"/>
      <c r="R1001" s="299"/>
      <c r="S1001" s="299"/>
      <c r="T1001" s="299"/>
      <c r="U1001" s="299"/>
      <c r="V1001" s="299"/>
      <c r="W1001" s="299"/>
      <c r="X1001" s="299"/>
      <c r="Y1001" s="299"/>
      <c r="Z1001" s="299"/>
    </row>
  </sheetData>
  <drawing r:id="rId1"/>
</worksheet>
</file>